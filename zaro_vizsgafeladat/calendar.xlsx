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s\Documents\adatvizualizácio\zaro_vizsgafeladat\"/>
    </mc:Choice>
  </mc:AlternateContent>
  <xr:revisionPtr revIDLastSave="0" documentId="13_ncr:1_{EE145BDB-000F-40C8-B354-0720FEEC192F}" xr6:coauthVersionLast="47" xr6:coauthVersionMax="47" xr10:uidLastSave="{00000000-0000-0000-0000-000000000000}"/>
  <bookViews>
    <workbookView xWindow="-108" yWindow="-108" windowWidth="23256" windowHeight="12456" xr2:uid="{F2A97566-8F78-40E1-99E4-C99FF6EA4070}"/>
  </bookViews>
  <sheets>
    <sheet name="calendar tábla" sheetId="2" r:id="rId1"/>
    <sheet name="segédtábla" sheetId="1" r:id="rId2"/>
  </sheets>
  <definedNames>
    <definedName name="_xlcn.WorksheetConnection_calendar.xlsxCalendar" hidden="1">Calendar[]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alendar" name="Calendar" connection="WorksheetConnection_calendar.xlsx!Calenda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7" i="2"/>
  <c r="D11" i="2"/>
  <c r="F11" i="2" s="1"/>
  <c r="D18" i="2"/>
  <c r="D22" i="2"/>
  <c r="F22" i="2" s="1"/>
  <c r="D23" i="2"/>
  <c r="D27" i="2"/>
  <c r="F27" i="2" s="1"/>
  <c r="D34" i="2"/>
  <c r="D38" i="2"/>
  <c r="F38" i="2" s="1"/>
  <c r="D39" i="2"/>
  <c r="D43" i="2"/>
  <c r="F43" i="2" s="1"/>
  <c r="D50" i="2"/>
  <c r="D54" i="2"/>
  <c r="F54" i="2" s="1"/>
  <c r="D55" i="2"/>
  <c r="D59" i="2"/>
  <c r="F59" i="2" s="1"/>
  <c r="D66" i="2"/>
  <c r="D70" i="2"/>
  <c r="F70" i="2" s="1"/>
  <c r="D71" i="2"/>
  <c r="D75" i="2"/>
  <c r="F75" i="2" s="1"/>
  <c r="D82" i="2"/>
  <c r="D86" i="2"/>
  <c r="F86" i="2" s="1"/>
  <c r="D87" i="2"/>
  <c r="D91" i="2"/>
  <c r="F91" i="2" s="1"/>
  <c r="C3" i="2"/>
  <c r="D3" i="2" s="1"/>
  <c r="C4" i="2"/>
  <c r="D4" i="2" s="1"/>
  <c r="C5" i="2"/>
  <c r="D5" i="2" s="1"/>
  <c r="C6" i="2"/>
  <c r="C7" i="2"/>
  <c r="C8" i="2"/>
  <c r="D8" i="2" s="1"/>
  <c r="C9" i="2"/>
  <c r="D9" i="2" s="1"/>
  <c r="C10" i="2"/>
  <c r="D10" i="2" s="1"/>
  <c r="C11" i="2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C19" i="2"/>
  <c r="D19" i="2" s="1"/>
  <c r="C20" i="2"/>
  <c r="D20" i="2" s="1"/>
  <c r="C21" i="2"/>
  <c r="D21" i="2" s="1"/>
  <c r="C22" i="2"/>
  <c r="C23" i="2"/>
  <c r="C24" i="2"/>
  <c r="D24" i="2" s="1"/>
  <c r="C25" i="2"/>
  <c r="D25" i="2" s="1"/>
  <c r="C26" i="2"/>
  <c r="D26" i="2" s="1"/>
  <c r="C27" i="2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C35" i="2"/>
  <c r="D35" i="2" s="1"/>
  <c r="C36" i="2"/>
  <c r="D36" i="2" s="1"/>
  <c r="C37" i="2"/>
  <c r="D37" i="2" s="1"/>
  <c r="C38" i="2"/>
  <c r="C39" i="2"/>
  <c r="C40" i="2"/>
  <c r="D40" i="2" s="1"/>
  <c r="C41" i="2"/>
  <c r="D41" i="2" s="1"/>
  <c r="C42" i="2"/>
  <c r="D42" i="2" s="1"/>
  <c r="C43" i="2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C51" i="2"/>
  <c r="D51" i="2" s="1"/>
  <c r="C52" i="2"/>
  <c r="D52" i="2" s="1"/>
  <c r="C53" i="2"/>
  <c r="D53" i="2" s="1"/>
  <c r="C54" i="2"/>
  <c r="C55" i="2"/>
  <c r="C56" i="2"/>
  <c r="D56" i="2" s="1"/>
  <c r="C57" i="2"/>
  <c r="D57" i="2" s="1"/>
  <c r="C58" i="2"/>
  <c r="D58" i="2" s="1"/>
  <c r="C59" i="2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C67" i="2"/>
  <c r="D67" i="2" s="1"/>
  <c r="C68" i="2"/>
  <c r="D68" i="2" s="1"/>
  <c r="C69" i="2"/>
  <c r="D69" i="2" s="1"/>
  <c r="C70" i="2"/>
  <c r="C71" i="2"/>
  <c r="C72" i="2"/>
  <c r="D72" i="2" s="1"/>
  <c r="C73" i="2"/>
  <c r="D73" i="2" s="1"/>
  <c r="C74" i="2"/>
  <c r="D74" i="2" s="1"/>
  <c r="C75" i="2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C83" i="2"/>
  <c r="D83" i="2" s="1"/>
  <c r="C84" i="2"/>
  <c r="D84" i="2" s="1"/>
  <c r="C85" i="2"/>
  <c r="D85" i="2" s="1"/>
  <c r="C86" i="2"/>
  <c r="C87" i="2"/>
  <c r="C88" i="2"/>
  <c r="D88" i="2" s="1"/>
  <c r="C89" i="2"/>
  <c r="D89" i="2" s="1"/>
  <c r="C90" i="2"/>
  <c r="D90" i="2" s="1"/>
  <c r="C91" i="2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D353" i="2" s="1"/>
  <c r="C354" i="2"/>
  <c r="D354" i="2" s="1"/>
  <c r="C355" i="2"/>
  <c r="D355" i="2" s="1"/>
  <c r="C356" i="2"/>
  <c r="D356" i="2" s="1"/>
  <c r="C357" i="2"/>
  <c r="D357" i="2" s="1"/>
  <c r="C358" i="2"/>
  <c r="D358" i="2" s="1"/>
  <c r="C359" i="2"/>
  <c r="D359" i="2" s="1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2" i="2"/>
  <c r="D2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2" i="2"/>
  <c r="F115" i="2" l="1"/>
  <c r="E115" i="2"/>
  <c r="F363" i="2"/>
  <c r="E363" i="2"/>
  <c r="F355" i="2"/>
  <c r="E355" i="2"/>
  <c r="F343" i="2"/>
  <c r="E343" i="2"/>
  <c r="F335" i="2"/>
  <c r="E335" i="2"/>
  <c r="F331" i="2"/>
  <c r="E331" i="2"/>
  <c r="F323" i="2"/>
  <c r="E323" i="2"/>
  <c r="F315" i="2"/>
  <c r="E315" i="2"/>
  <c r="F307" i="2"/>
  <c r="E307" i="2"/>
  <c r="F295" i="2"/>
  <c r="E295" i="2"/>
  <c r="F287" i="2"/>
  <c r="E287" i="2"/>
  <c r="E279" i="2"/>
  <c r="F279" i="2"/>
  <c r="F271" i="2"/>
  <c r="E271" i="2"/>
  <c r="F263" i="2"/>
  <c r="E263" i="2"/>
  <c r="F255" i="2"/>
  <c r="E255" i="2"/>
  <c r="E247" i="2"/>
  <c r="F247" i="2"/>
  <c r="F239" i="2"/>
  <c r="E239" i="2"/>
  <c r="F231" i="2"/>
  <c r="E231" i="2"/>
  <c r="F219" i="2"/>
  <c r="E219" i="2"/>
  <c r="E211" i="2"/>
  <c r="F211" i="2"/>
  <c r="F203" i="2"/>
  <c r="E203" i="2"/>
  <c r="F195" i="2"/>
  <c r="E195" i="2"/>
  <c r="F187" i="2"/>
  <c r="E187" i="2"/>
  <c r="F179" i="2"/>
  <c r="E179" i="2"/>
  <c r="F171" i="2"/>
  <c r="E171" i="2"/>
  <c r="E163" i="2"/>
  <c r="F163" i="2"/>
  <c r="F155" i="2"/>
  <c r="E155" i="2"/>
  <c r="E147" i="2"/>
  <c r="F147" i="2"/>
  <c r="F139" i="2"/>
  <c r="E139" i="2"/>
  <c r="F131" i="2"/>
  <c r="E131" i="2"/>
  <c r="F123" i="2"/>
  <c r="E123" i="2"/>
  <c r="F83" i="2"/>
  <c r="E83" i="2"/>
  <c r="F359" i="2"/>
  <c r="E359" i="2"/>
  <c r="F351" i="2"/>
  <c r="E351" i="2"/>
  <c r="F347" i="2"/>
  <c r="E347" i="2"/>
  <c r="F339" i="2"/>
  <c r="E339" i="2"/>
  <c r="F327" i="2"/>
  <c r="E327" i="2"/>
  <c r="F319" i="2"/>
  <c r="E319" i="2"/>
  <c r="F311" i="2"/>
  <c r="E311" i="2"/>
  <c r="F303" i="2"/>
  <c r="E303" i="2"/>
  <c r="F299" i="2"/>
  <c r="E299" i="2"/>
  <c r="F291" i="2"/>
  <c r="E291" i="2"/>
  <c r="F283" i="2"/>
  <c r="E283" i="2"/>
  <c r="F275" i="2"/>
  <c r="E275" i="2"/>
  <c r="F267" i="2"/>
  <c r="E267" i="2"/>
  <c r="F259" i="2"/>
  <c r="E259" i="2"/>
  <c r="F251" i="2"/>
  <c r="E251" i="2"/>
  <c r="F243" i="2"/>
  <c r="E243" i="2"/>
  <c r="E235" i="2"/>
  <c r="F235" i="2"/>
  <c r="F227" i="2"/>
  <c r="E227" i="2"/>
  <c r="F223" i="2"/>
  <c r="E223" i="2"/>
  <c r="F215" i="2"/>
  <c r="E215" i="2"/>
  <c r="F207" i="2"/>
  <c r="E207" i="2"/>
  <c r="F199" i="2"/>
  <c r="E199" i="2"/>
  <c r="E191" i="2"/>
  <c r="F191" i="2"/>
  <c r="F183" i="2"/>
  <c r="E183" i="2"/>
  <c r="F175" i="2"/>
  <c r="E175" i="2"/>
  <c r="F167" i="2"/>
  <c r="E167" i="2"/>
  <c r="F159" i="2"/>
  <c r="E159" i="2"/>
  <c r="F151" i="2"/>
  <c r="E151" i="2"/>
  <c r="F143" i="2"/>
  <c r="E143" i="2"/>
  <c r="F135" i="2"/>
  <c r="E135" i="2"/>
  <c r="E127" i="2"/>
  <c r="F127" i="2"/>
  <c r="F119" i="2"/>
  <c r="E119" i="2"/>
  <c r="F111" i="2"/>
  <c r="E111" i="2"/>
  <c r="F107" i="2"/>
  <c r="E107" i="2"/>
  <c r="F103" i="2"/>
  <c r="E103" i="2"/>
  <c r="E99" i="2"/>
  <c r="F99" i="2"/>
  <c r="F95" i="2"/>
  <c r="E95" i="2"/>
  <c r="E67" i="2"/>
  <c r="F67" i="2"/>
  <c r="F63" i="2"/>
  <c r="E63" i="2"/>
  <c r="F47" i="2"/>
  <c r="E47" i="2"/>
  <c r="F31" i="2"/>
  <c r="E31" i="2"/>
  <c r="F15" i="2"/>
  <c r="E15" i="2"/>
  <c r="F362" i="2"/>
  <c r="E362" i="2"/>
  <c r="F354" i="2"/>
  <c r="E354" i="2"/>
  <c r="F346" i="2"/>
  <c r="E346" i="2"/>
  <c r="F338" i="2"/>
  <c r="E338" i="2"/>
  <c r="F330" i="2"/>
  <c r="E330" i="2"/>
  <c r="F322" i="2"/>
  <c r="E322" i="2"/>
  <c r="F314" i="2"/>
  <c r="E314" i="2"/>
  <c r="F306" i="2"/>
  <c r="E306" i="2"/>
  <c r="F298" i="2"/>
  <c r="E298" i="2"/>
  <c r="F290" i="2"/>
  <c r="E290" i="2"/>
  <c r="F282" i="2"/>
  <c r="E282" i="2"/>
  <c r="F274" i="2"/>
  <c r="E274" i="2"/>
  <c r="F266" i="2"/>
  <c r="E266" i="2"/>
  <c r="F258" i="2"/>
  <c r="E258" i="2"/>
  <c r="F250" i="2"/>
  <c r="E250" i="2"/>
  <c r="F242" i="2"/>
  <c r="E242" i="2"/>
  <c r="F234" i="2"/>
  <c r="E234" i="2"/>
  <c r="F226" i="2"/>
  <c r="E226" i="2"/>
  <c r="F218" i="2"/>
  <c r="E218" i="2"/>
  <c r="F210" i="2"/>
  <c r="E210" i="2"/>
  <c r="F202" i="2"/>
  <c r="E202" i="2"/>
  <c r="F194" i="2"/>
  <c r="E194" i="2"/>
  <c r="F186" i="2"/>
  <c r="E186" i="2"/>
  <c r="F178" i="2"/>
  <c r="E178" i="2"/>
  <c r="F170" i="2"/>
  <c r="E170" i="2"/>
  <c r="F162" i="2"/>
  <c r="E162" i="2"/>
  <c r="F158" i="2"/>
  <c r="E158" i="2"/>
  <c r="F150" i="2"/>
  <c r="E150" i="2"/>
  <c r="F146" i="2"/>
  <c r="E146" i="2"/>
  <c r="F142" i="2"/>
  <c r="E142" i="2"/>
  <c r="F138" i="2"/>
  <c r="E138" i="2"/>
  <c r="F134" i="2"/>
  <c r="E134" i="2"/>
  <c r="F130" i="2"/>
  <c r="E130" i="2"/>
  <c r="F126" i="2"/>
  <c r="E126" i="2"/>
  <c r="F122" i="2"/>
  <c r="E122" i="2"/>
  <c r="F118" i="2"/>
  <c r="E118" i="2"/>
  <c r="F114" i="2"/>
  <c r="E114" i="2"/>
  <c r="F110" i="2"/>
  <c r="E110" i="2"/>
  <c r="F106" i="2"/>
  <c r="E106" i="2"/>
  <c r="F102" i="2"/>
  <c r="E102" i="2"/>
  <c r="F98" i="2"/>
  <c r="E98" i="2"/>
  <c r="F94" i="2"/>
  <c r="E94" i="2"/>
  <c r="F90" i="2"/>
  <c r="E90" i="2"/>
  <c r="F78" i="2"/>
  <c r="E78" i="2"/>
  <c r="F74" i="2"/>
  <c r="E74" i="2"/>
  <c r="F62" i="2"/>
  <c r="E62" i="2"/>
  <c r="F58" i="2"/>
  <c r="E58" i="2"/>
  <c r="F46" i="2"/>
  <c r="E46" i="2"/>
  <c r="F42" i="2"/>
  <c r="E42" i="2"/>
  <c r="F30" i="2"/>
  <c r="E30" i="2"/>
  <c r="F26" i="2"/>
  <c r="E26" i="2"/>
  <c r="F14" i="2"/>
  <c r="E14" i="2"/>
  <c r="F10" i="2"/>
  <c r="E10" i="2"/>
  <c r="F365" i="2"/>
  <c r="E365" i="2"/>
  <c r="F361" i="2"/>
  <c r="E361" i="2"/>
  <c r="F357" i="2"/>
  <c r="E357" i="2"/>
  <c r="F353" i="2"/>
  <c r="E353" i="2"/>
  <c r="F349" i="2"/>
  <c r="E349" i="2"/>
  <c r="F345" i="2"/>
  <c r="E345" i="2"/>
  <c r="E341" i="2"/>
  <c r="F341" i="2"/>
  <c r="E337" i="2"/>
  <c r="F337" i="2"/>
  <c r="E333" i="2"/>
  <c r="F333" i="2"/>
  <c r="E329" i="2"/>
  <c r="F329" i="2"/>
  <c r="F325" i="2"/>
  <c r="E325" i="2"/>
  <c r="E321" i="2"/>
  <c r="F321" i="2"/>
  <c r="E317" i="2"/>
  <c r="F317" i="2"/>
  <c r="F313" i="2"/>
  <c r="E313" i="2"/>
  <c r="E309" i="2"/>
  <c r="F309" i="2"/>
  <c r="E305" i="2"/>
  <c r="F305" i="2"/>
  <c r="E301" i="2"/>
  <c r="F301" i="2"/>
  <c r="E297" i="2"/>
  <c r="F297" i="2"/>
  <c r="F293" i="2"/>
  <c r="E293" i="2"/>
  <c r="E289" i="2"/>
  <c r="F289" i="2"/>
  <c r="E285" i="2"/>
  <c r="F285" i="2"/>
  <c r="F281" i="2"/>
  <c r="E281" i="2"/>
  <c r="E277" i="2"/>
  <c r="F277" i="2"/>
  <c r="E273" i="2"/>
  <c r="F273" i="2"/>
  <c r="E269" i="2"/>
  <c r="F269" i="2"/>
  <c r="E265" i="2"/>
  <c r="F265" i="2"/>
  <c r="F261" i="2"/>
  <c r="E261" i="2"/>
  <c r="E257" i="2"/>
  <c r="F257" i="2"/>
  <c r="E253" i="2"/>
  <c r="F253" i="2"/>
  <c r="F249" i="2"/>
  <c r="E249" i="2"/>
  <c r="E245" i="2"/>
  <c r="F245" i="2"/>
  <c r="E241" i="2"/>
  <c r="F241" i="2"/>
  <c r="F237" i="2"/>
  <c r="E237" i="2"/>
  <c r="F233" i="2"/>
  <c r="E233" i="2"/>
  <c r="F229" i="2"/>
  <c r="E229" i="2"/>
  <c r="F225" i="2"/>
  <c r="E225" i="2"/>
  <c r="F221" i="2"/>
  <c r="E221" i="2"/>
  <c r="F217" i="2"/>
  <c r="E217" i="2"/>
  <c r="F213" i="2"/>
  <c r="E213" i="2"/>
  <c r="F209" i="2"/>
  <c r="E209" i="2"/>
  <c r="F205" i="2"/>
  <c r="E205" i="2"/>
  <c r="F201" i="2"/>
  <c r="E201" i="2"/>
  <c r="F197" i="2"/>
  <c r="E197" i="2"/>
  <c r="F193" i="2"/>
  <c r="E193" i="2"/>
  <c r="F189" i="2"/>
  <c r="E189" i="2"/>
  <c r="F185" i="2"/>
  <c r="E185" i="2"/>
  <c r="F181" i="2"/>
  <c r="E181" i="2"/>
  <c r="F177" i="2"/>
  <c r="E177" i="2"/>
  <c r="F173" i="2"/>
  <c r="E173" i="2"/>
  <c r="F169" i="2"/>
  <c r="E169" i="2"/>
  <c r="F165" i="2"/>
  <c r="E165" i="2"/>
  <c r="F161" i="2"/>
  <c r="E161" i="2"/>
  <c r="F157" i="2"/>
  <c r="E157" i="2"/>
  <c r="F153" i="2"/>
  <c r="E153" i="2"/>
  <c r="F149" i="2"/>
  <c r="E149" i="2"/>
  <c r="F145" i="2"/>
  <c r="E145" i="2"/>
  <c r="F141" i="2"/>
  <c r="E141" i="2"/>
  <c r="F137" i="2"/>
  <c r="E137" i="2"/>
  <c r="F133" i="2"/>
  <c r="E133" i="2"/>
  <c r="F129" i="2"/>
  <c r="E129" i="2"/>
  <c r="F125" i="2"/>
  <c r="E125" i="2"/>
  <c r="F121" i="2"/>
  <c r="E121" i="2"/>
  <c r="F117" i="2"/>
  <c r="E117" i="2"/>
  <c r="F113" i="2"/>
  <c r="E113" i="2"/>
  <c r="F109" i="2"/>
  <c r="E109" i="2"/>
  <c r="F105" i="2"/>
  <c r="E105" i="2"/>
  <c r="F101" i="2"/>
  <c r="E101" i="2"/>
  <c r="F97" i="2"/>
  <c r="E97" i="2"/>
  <c r="F79" i="2"/>
  <c r="E79" i="2"/>
  <c r="F51" i="2"/>
  <c r="E51" i="2"/>
  <c r="E35" i="2"/>
  <c r="F35" i="2"/>
  <c r="F19" i="2"/>
  <c r="E19" i="2"/>
  <c r="F3" i="2"/>
  <c r="E3" i="2"/>
  <c r="F2" i="2"/>
  <c r="E2" i="2"/>
  <c r="F358" i="2"/>
  <c r="E358" i="2"/>
  <c r="F350" i="2"/>
  <c r="E350" i="2"/>
  <c r="F342" i="2"/>
  <c r="E342" i="2"/>
  <c r="F334" i="2"/>
  <c r="E334" i="2"/>
  <c r="F326" i="2"/>
  <c r="E326" i="2"/>
  <c r="F318" i="2"/>
  <c r="E318" i="2"/>
  <c r="F310" i="2"/>
  <c r="E310" i="2"/>
  <c r="F302" i="2"/>
  <c r="E302" i="2"/>
  <c r="F294" i="2"/>
  <c r="E294" i="2"/>
  <c r="F286" i="2"/>
  <c r="E286" i="2"/>
  <c r="F278" i="2"/>
  <c r="E278" i="2"/>
  <c r="F270" i="2"/>
  <c r="E270" i="2"/>
  <c r="F262" i="2"/>
  <c r="E262" i="2"/>
  <c r="F254" i="2"/>
  <c r="E254" i="2"/>
  <c r="F246" i="2"/>
  <c r="E246" i="2"/>
  <c r="F238" i="2"/>
  <c r="E238" i="2"/>
  <c r="F230" i="2"/>
  <c r="E230" i="2"/>
  <c r="F222" i="2"/>
  <c r="E222" i="2"/>
  <c r="F214" i="2"/>
  <c r="E214" i="2"/>
  <c r="F206" i="2"/>
  <c r="E206" i="2"/>
  <c r="F198" i="2"/>
  <c r="E198" i="2"/>
  <c r="F190" i="2"/>
  <c r="E190" i="2"/>
  <c r="F182" i="2"/>
  <c r="E182" i="2"/>
  <c r="F174" i="2"/>
  <c r="E174" i="2"/>
  <c r="F166" i="2"/>
  <c r="E166" i="2"/>
  <c r="F154" i="2"/>
  <c r="E154" i="2"/>
  <c r="F364" i="2"/>
  <c r="E364" i="2"/>
  <c r="F360" i="2"/>
  <c r="E360" i="2"/>
  <c r="F356" i="2"/>
  <c r="E356" i="2"/>
  <c r="F352" i="2"/>
  <c r="E352" i="2"/>
  <c r="F348" i="2"/>
  <c r="E348" i="2"/>
  <c r="F344" i="2"/>
  <c r="E344" i="2"/>
  <c r="F340" i="2"/>
  <c r="E340" i="2"/>
  <c r="F336" i="2"/>
  <c r="E336" i="2"/>
  <c r="F332" i="2"/>
  <c r="E332" i="2"/>
  <c r="F328" i="2"/>
  <c r="E328" i="2"/>
  <c r="F324" i="2"/>
  <c r="E324" i="2"/>
  <c r="F320" i="2"/>
  <c r="E320" i="2"/>
  <c r="F316" i="2"/>
  <c r="E316" i="2"/>
  <c r="F312" i="2"/>
  <c r="E312" i="2"/>
  <c r="F308" i="2"/>
  <c r="E308" i="2"/>
  <c r="F304" i="2"/>
  <c r="E304" i="2"/>
  <c r="F300" i="2"/>
  <c r="E300" i="2"/>
  <c r="F296" i="2"/>
  <c r="E296" i="2"/>
  <c r="F292" i="2"/>
  <c r="E292" i="2"/>
  <c r="F288" i="2"/>
  <c r="E288" i="2"/>
  <c r="F284" i="2"/>
  <c r="E284" i="2"/>
  <c r="F280" i="2"/>
  <c r="E280" i="2"/>
  <c r="F276" i="2"/>
  <c r="E276" i="2"/>
  <c r="F272" i="2"/>
  <c r="E272" i="2"/>
  <c r="F268" i="2"/>
  <c r="E268" i="2"/>
  <c r="F264" i="2"/>
  <c r="E264" i="2"/>
  <c r="F260" i="2"/>
  <c r="E260" i="2"/>
  <c r="F256" i="2"/>
  <c r="E256" i="2"/>
  <c r="F252" i="2"/>
  <c r="E252" i="2"/>
  <c r="F248" i="2"/>
  <c r="E248" i="2"/>
  <c r="F244" i="2"/>
  <c r="E244" i="2"/>
  <c r="F240" i="2"/>
  <c r="E240" i="2"/>
  <c r="F236" i="2"/>
  <c r="E236" i="2"/>
  <c r="F232" i="2"/>
  <c r="E232" i="2"/>
  <c r="F228" i="2"/>
  <c r="E228" i="2"/>
  <c r="F224" i="2"/>
  <c r="E224" i="2"/>
  <c r="F220" i="2"/>
  <c r="E220" i="2"/>
  <c r="F216" i="2"/>
  <c r="E216" i="2"/>
  <c r="F212" i="2"/>
  <c r="E212" i="2"/>
  <c r="F208" i="2"/>
  <c r="E208" i="2"/>
  <c r="F204" i="2"/>
  <c r="E204" i="2"/>
  <c r="F200" i="2"/>
  <c r="E200" i="2"/>
  <c r="F196" i="2"/>
  <c r="E196" i="2"/>
  <c r="F192" i="2"/>
  <c r="E192" i="2"/>
  <c r="F188" i="2"/>
  <c r="E188" i="2"/>
  <c r="F184" i="2"/>
  <c r="E184" i="2"/>
  <c r="F180" i="2"/>
  <c r="E180" i="2"/>
  <c r="F176" i="2"/>
  <c r="E176" i="2"/>
  <c r="F172" i="2"/>
  <c r="E172" i="2"/>
  <c r="F168" i="2"/>
  <c r="E168" i="2"/>
  <c r="F164" i="2"/>
  <c r="E164" i="2"/>
  <c r="F160" i="2"/>
  <c r="E160" i="2"/>
  <c r="F156" i="2"/>
  <c r="E156" i="2"/>
  <c r="F152" i="2"/>
  <c r="E152" i="2"/>
  <c r="F148" i="2"/>
  <c r="E148" i="2"/>
  <c r="F144" i="2"/>
  <c r="E144" i="2"/>
  <c r="F140" i="2"/>
  <c r="E140" i="2"/>
  <c r="F136" i="2"/>
  <c r="E136" i="2"/>
  <c r="F132" i="2"/>
  <c r="E132" i="2"/>
  <c r="F128" i="2"/>
  <c r="E128" i="2"/>
  <c r="F124" i="2"/>
  <c r="E124" i="2"/>
  <c r="F120" i="2"/>
  <c r="E120" i="2"/>
  <c r="F116" i="2"/>
  <c r="E116" i="2"/>
  <c r="F112" i="2"/>
  <c r="E112" i="2"/>
  <c r="F108" i="2"/>
  <c r="E108" i="2"/>
  <c r="F104" i="2"/>
  <c r="E104" i="2"/>
  <c r="F100" i="2"/>
  <c r="E100" i="2"/>
  <c r="F96" i="2"/>
  <c r="E96" i="2"/>
  <c r="F92" i="2"/>
  <c r="E92" i="2"/>
  <c r="F88" i="2"/>
  <c r="E88" i="2"/>
  <c r="F84" i="2"/>
  <c r="E84" i="2"/>
  <c r="F80" i="2"/>
  <c r="E80" i="2"/>
  <c r="F76" i="2"/>
  <c r="E76" i="2"/>
  <c r="F72" i="2"/>
  <c r="E72" i="2"/>
  <c r="F68" i="2"/>
  <c r="E68" i="2"/>
  <c r="F64" i="2"/>
  <c r="E64" i="2"/>
  <c r="F60" i="2"/>
  <c r="E60" i="2"/>
  <c r="F56" i="2"/>
  <c r="E56" i="2"/>
  <c r="F52" i="2"/>
  <c r="E52" i="2"/>
  <c r="F48" i="2"/>
  <c r="E48" i="2"/>
  <c r="F44" i="2"/>
  <c r="E44" i="2"/>
  <c r="F40" i="2"/>
  <c r="E40" i="2"/>
  <c r="F36" i="2"/>
  <c r="E36" i="2"/>
  <c r="F32" i="2"/>
  <c r="E32" i="2"/>
  <c r="F28" i="2"/>
  <c r="E28" i="2"/>
  <c r="F24" i="2"/>
  <c r="E24" i="2"/>
  <c r="F20" i="2"/>
  <c r="E20" i="2"/>
  <c r="F16" i="2"/>
  <c r="E16" i="2"/>
  <c r="F12" i="2"/>
  <c r="E12" i="2"/>
  <c r="F8" i="2"/>
  <c r="E8" i="2"/>
  <c r="F4" i="2"/>
  <c r="E4" i="2"/>
  <c r="F93" i="2"/>
  <c r="E93" i="2"/>
  <c r="F89" i="2"/>
  <c r="E89" i="2"/>
  <c r="F85" i="2"/>
  <c r="E85" i="2"/>
  <c r="F81" i="2"/>
  <c r="E81" i="2"/>
  <c r="F77" i="2"/>
  <c r="E77" i="2"/>
  <c r="F73" i="2"/>
  <c r="E73" i="2"/>
  <c r="F69" i="2"/>
  <c r="E69" i="2"/>
  <c r="F65" i="2"/>
  <c r="E65" i="2"/>
  <c r="F61" i="2"/>
  <c r="E61" i="2"/>
  <c r="F57" i="2"/>
  <c r="E57" i="2"/>
  <c r="F53" i="2"/>
  <c r="E53" i="2"/>
  <c r="F49" i="2"/>
  <c r="E49" i="2"/>
  <c r="F45" i="2"/>
  <c r="E45" i="2"/>
  <c r="F41" i="2"/>
  <c r="E41" i="2"/>
  <c r="F37" i="2"/>
  <c r="E37" i="2"/>
  <c r="F33" i="2"/>
  <c r="E33" i="2"/>
  <c r="F29" i="2"/>
  <c r="E29" i="2"/>
  <c r="F25" i="2"/>
  <c r="E25" i="2"/>
  <c r="F21" i="2"/>
  <c r="E21" i="2"/>
  <c r="F17" i="2"/>
  <c r="E17" i="2"/>
  <c r="F13" i="2"/>
  <c r="E13" i="2"/>
  <c r="F9" i="2"/>
  <c r="E9" i="2"/>
  <c r="F5" i="2"/>
  <c r="E5" i="2"/>
  <c r="F87" i="2"/>
  <c r="E87" i="2"/>
  <c r="F82" i="2"/>
  <c r="E82" i="2"/>
  <c r="F71" i="2"/>
  <c r="E71" i="2"/>
  <c r="F66" i="2"/>
  <c r="E66" i="2"/>
  <c r="F55" i="2"/>
  <c r="E55" i="2"/>
  <c r="F50" i="2"/>
  <c r="E50" i="2"/>
  <c r="F39" i="2"/>
  <c r="E39" i="2"/>
  <c r="F34" i="2"/>
  <c r="E34" i="2"/>
  <c r="F23" i="2"/>
  <c r="E23" i="2"/>
  <c r="F18" i="2"/>
  <c r="E18" i="2"/>
  <c r="F7" i="2"/>
  <c r="E7" i="2"/>
  <c r="E91" i="2"/>
  <c r="E70" i="2"/>
  <c r="E27" i="2"/>
  <c r="F6" i="2"/>
  <c r="E6" i="2"/>
  <c r="E86" i="2"/>
  <c r="E43" i="2"/>
  <c r="E22" i="2"/>
  <c r="E59" i="2"/>
  <c r="E38" i="2"/>
  <c r="E75" i="2"/>
  <c r="E54" i="2"/>
  <c r="E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FC687-750D-4E7A-A8C3-52535A8BBE34}" keepAlive="1" name="ThisWorkbookDataModel" description="Adat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FEF352D-CD08-469F-83FE-7C83961CD848}" name="WorksheetConnection_calendar.xlsx!Calendar" type="102" refreshedVersion="8" minRefreshableVersion="5">
    <extLst>
      <ext xmlns:x15="http://schemas.microsoft.com/office/spreadsheetml/2010/11/main" uri="{DE250136-89BD-433C-8126-D09CA5730AF9}">
        <x15:connection id="Calendar">
          <x15:rangePr sourceName="_xlcn.WorksheetConnection_calendar.xlsxCalendar"/>
        </x15:connection>
      </ext>
    </extLst>
  </connection>
</connections>
</file>

<file path=xl/sharedStrings.xml><?xml version="1.0" encoding="utf-8"?>
<sst xmlns="http://schemas.openxmlformats.org/spreadsheetml/2006/main" count="45" uniqueCount="35">
  <si>
    <t>Start Week</t>
  </si>
  <si>
    <t>Cost Month</t>
  </si>
  <si>
    <t>Cost Quarter</t>
  </si>
  <si>
    <t>2012W01</t>
  </si>
  <si>
    <t>2012M01</t>
  </si>
  <si>
    <t>2012Q1</t>
  </si>
  <si>
    <t>2012W05</t>
  </si>
  <si>
    <t>2012M02</t>
  </si>
  <si>
    <t>2012W10</t>
  </si>
  <si>
    <t>2012M03</t>
  </si>
  <si>
    <t>2012W14</t>
  </si>
  <si>
    <t>2012M04</t>
  </si>
  <si>
    <t>2012Q2</t>
  </si>
  <si>
    <t>2012W18</t>
  </si>
  <si>
    <t>2012M05</t>
  </si>
  <si>
    <t>2012W23</t>
  </si>
  <si>
    <t>2012M06</t>
  </si>
  <si>
    <t>2012W27</t>
  </si>
  <si>
    <t>2012M07</t>
  </si>
  <si>
    <t>2012Q3</t>
  </si>
  <si>
    <t>2012W31</t>
  </si>
  <si>
    <t>2012M08</t>
  </si>
  <si>
    <t>2012W36</t>
  </si>
  <si>
    <t>2012M09</t>
  </si>
  <si>
    <t>2012W40</t>
  </si>
  <si>
    <t>2012M10</t>
  </si>
  <si>
    <t>2012Q4</t>
  </si>
  <si>
    <t>2012W44</t>
  </si>
  <si>
    <t>2012M11</t>
  </si>
  <si>
    <t>2012W49</t>
  </si>
  <si>
    <t>2012M12</t>
  </si>
  <si>
    <t>Date</t>
  </si>
  <si>
    <t>Weekend</t>
  </si>
  <si>
    <t>Week Nr</t>
  </si>
  <si>
    <t>Cost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</si>
</sst>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05B3B-B19D-4C72-B8DF-8D0F728137F6}" name="Calendar" displayName="Calendar" ref="A1:F365" totalsRowShown="0">
  <autoFilter ref="A1:F365" xr:uid="{B8C05B3B-B19D-4C72-B8DF-8D0F728137F6}"/>
  <tableColumns count="6">
    <tableColumn id="1" xr3:uid="{992308BA-6056-4BCB-9C8C-34CA43C18257}" name="Date" dataDxfId="0"/>
    <tableColumn id="2" xr3:uid="{A057A945-6E9D-4D3D-A6B6-63D8F3A2B14D}" name="Weekend">
      <calculatedColumnFormula>IF(WEEKDAY(A2,2)&gt;5,"Y","N")</calculatedColumnFormula>
    </tableColumn>
    <tableColumn id="3" xr3:uid="{BDB58D41-9199-488F-AD8F-1D3843DC7322}" name="Week Nr">
      <calculatedColumnFormula>_xlfn.ISOWEEKNUM(A2)</calculatedColumnFormula>
    </tableColumn>
    <tableColumn id="4" xr3:uid="{293873F1-AB7D-4185-A953-D7470D2A164D}" name="Cost Week">
      <calculatedColumnFormula>YEAR(A2)&amp;"W"&amp;IF(C2&lt;10,0&amp;C2,C2)</calculatedColumnFormula>
    </tableColumn>
    <tableColumn id="5" xr3:uid="{9ACABAC4-5CDE-4234-83AB-D3180F91E5E7}" name="Cost Month">
      <calculatedColumnFormula>VLOOKUP(D2,segédtábla!$A$2:$C$13,2)</calculatedColumnFormula>
    </tableColumn>
    <tableColumn id="6" xr3:uid="{75BF4A2B-6DC5-4DF7-9CA3-DDBC10A9865A}" name="Cost Quarter">
      <calculatedColumnFormula>VLOOKUP(D2,segédtábla!$A$2:$C$13,3)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3ADE-DD5E-4677-ACD5-8D9C5FAA9FC4}">
  <dimension ref="A1:F365"/>
  <sheetViews>
    <sheetView tabSelected="1" workbookViewId="0">
      <selection activeCell="E11" sqref="E11"/>
    </sheetView>
  </sheetViews>
  <sheetFormatPr defaultRowHeight="14.4" x14ac:dyDescent="0.3"/>
  <cols>
    <col min="1" max="1" width="10.109375" bestFit="1" customWidth="1"/>
    <col min="2" max="2" width="10.44140625" customWidth="1"/>
    <col min="3" max="3" width="9.77734375" customWidth="1"/>
    <col min="4" max="4" width="11.44140625" customWidth="1"/>
    <col min="5" max="5" width="11.88671875" customWidth="1"/>
    <col min="6" max="6" width="13.109375" customWidth="1"/>
  </cols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1</v>
      </c>
      <c r="F1" t="s">
        <v>2</v>
      </c>
    </row>
    <row r="2" spans="1:6" x14ac:dyDescent="0.3">
      <c r="A2" s="1">
        <v>40910</v>
      </c>
      <c r="B2" t="str">
        <f>IF(WEEKDAY(A2,2)&gt;5,"Y","N")</f>
        <v>N</v>
      </c>
      <c r="C2">
        <f>_xlfn.ISOWEEKNUM(A2)</f>
        <v>1</v>
      </c>
      <c r="D2" t="str">
        <f>YEAR(A2)&amp;"W"&amp;IF(C2&lt;10,0&amp;C2,C2)</f>
        <v>2012W01</v>
      </c>
      <c r="E2" t="str">
        <f>VLOOKUP(D2,segédtábla!$A$2:$C$13,2)</f>
        <v>2012M01</v>
      </c>
      <c r="F2" t="str">
        <f>VLOOKUP(D2,segédtábla!$A$2:$C$13,3)</f>
        <v>2012Q1</v>
      </c>
    </row>
    <row r="3" spans="1:6" x14ac:dyDescent="0.3">
      <c r="A3" s="1">
        <v>40911</v>
      </c>
      <c r="B3" t="str">
        <f t="shared" ref="B3:B66" si="0">IF(WEEKDAY(A3,2)&gt;5,"Y","N")</f>
        <v>N</v>
      </c>
      <c r="C3">
        <f t="shared" ref="C3:C66" si="1">_xlfn.ISOWEEKNUM(A3)</f>
        <v>1</v>
      </c>
      <c r="D3" t="str">
        <f t="shared" ref="D3:D66" si="2">YEAR(A3)&amp;"W"&amp;IF(C3&lt;10,0&amp;C3,C3)</f>
        <v>2012W01</v>
      </c>
      <c r="E3" t="str">
        <f>VLOOKUP(D3,segédtábla!$A$2:$C$13,2)</f>
        <v>2012M01</v>
      </c>
      <c r="F3" t="str">
        <f>VLOOKUP(D3,segédtábla!$A$2:$C$13,3)</f>
        <v>2012Q1</v>
      </c>
    </row>
    <row r="4" spans="1:6" x14ac:dyDescent="0.3">
      <c r="A4" s="1">
        <v>40912</v>
      </c>
      <c r="B4" t="str">
        <f t="shared" si="0"/>
        <v>N</v>
      </c>
      <c r="C4">
        <f t="shared" si="1"/>
        <v>1</v>
      </c>
      <c r="D4" t="str">
        <f t="shared" si="2"/>
        <v>2012W01</v>
      </c>
      <c r="E4" t="str">
        <f>VLOOKUP(D4,segédtábla!$A$2:$C$13,2)</f>
        <v>2012M01</v>
      </c>
      <c r="F4" t="str">
        <f>VLOOKUP(D4,segédtábla!$A$2:$C$13,3)</f>
        <v>2012Q1</v>
      </c>
    </row>
    <row r="5" spans="1:6" x14ac:dyDescent="0.3">
      <c r="A5" s="1">
        <v>40913</v>
      </c>
      <c r="B5" t="str">
        <f t="shared" si="0"/>
        <v>N</v>
      </c>
      <c r="C5">
        <f t="shared" si="1"/>
        <v>1</v>
      </c>
      <c r="D5" t="str">
        <f t="shared" si="2"/>
        <v>2012W01</v>
      </c>
      <c r="E5" t="str">
        <f>VLOOKUP(D5,segédtábla!$A$2:$C$13,2)</f>
        <v>2012M01</v>
      </c>
      <c r="F5" t="str">
        <f>VLOOKUP(D5,segédtábla!$A$2:$C$13,3)</f>
        <v>2012Q1</v>
      </c>
    </row>
    <row r="6" spans="1:6" x14ac:dyDescent="0.3">
      <c r="A6" s="1">
        <v>40914</v>
      </c>
      <c r="B6" t="str">
        <f t="shared" si="0"/>
        <v>N</v>
      </c>
      <c r="C6">
        <f t="shared" si="1"/>
        <v>1</v>
      </c>
      <c r="D6" t="str">
        <f t="shared" si="2"/>
        <v>2012W01</v>
      </c>
      <c r="E6" t="str">
        <f>VLOOKUP(D6,segédtábla!$A$2:$C$13,2)</f>
        <v>2012M01</v>
      </c>
      <c r="F6" t="str">
        <f>VLOOKUP(D6,segédtábla!$A$2:$C$13,3)</f>
        <v>2012Q1</v>
      </c>
    </row>
    <row r="7" spans="1:6" x14ac:dyDescent="0.3">
      <c r="A7" s="1">
        <v>40915</v>
      </c>
      <c r="B7" t="str">
        <f t="shared" si="0"/>
        <v>Y</v>
      </c>
      <c r="C7">
        <f t="shared" si="1"/>
        <v>1</v>
      </c>
      <c r="D7" t="str">
        <f t="shared" si="2"/>
        <v>2012W01</v>
      </c>
      <c r="E7" t="str">
        <f>VLOOKUP(D7,segédtábla!$A$2:$C$13,2)</f>
        <v>2012M01</v>
      </c>
      <c r="F7" t="str">
        <f>VLOOKUP(D7,segédtábla!$A$2:$C$13,3)</f>
        <v>2012Q1</v>
      </c>
    </row>
    <row r="8" spans="1:6" x14ac:dyDescent="0.3">
      <c r="A8" s="1">
        <v>40916</v>
      </c>
      <c r="B8" t="str">
        <f t="shared" si="0"/>
        <v>Y</v>
      </c>
      <c r="C8">
        <f t="shared" si="1"/>
        <v>1</v>
      </c>
      <c r="D8" t="str">
        <f t="shared" si="2"/>
        <v>2012W01</v>
      </c>
      <c r="E8" t="str">
        <f>VLOOKUP(D8,segédtábla!$A$2:$C$13,2)</f>
        <v>2012M01</v>
      </c>
      <c r="F8" t="str">
        <f>VLOOKUP(D8,segédtábla!$A$2:$C$13,3)</f>
        <v>2012Q1</v>
      </c>
    </row>
    <row r="9" spans="1:6" x14ac:dyDescent="0.3">
      <c r="A9" s="1">
        <v>40917</v>
      </c>
      <c r="B9" t="str">
        <f t="shared" si="0"/>
        <v>N</v>
      </c>
      <c r="C9">
        <f t="shared" si="1"/>
        <v>2</v>
      </c>
      <c r="D9" t="str">
        <f t="shared" si="2"/>
        <v>2012W02</v>
      </c>
      <c r="E9" t="str">
        <f>VLOOKUP(D9,segédtábla!$A$2:$C$13,2)</f>
        <v>2012M01</v>
      </c>
      <c r="F9" t="str">
        <f>VLOOKUP(D9,segédtábla!$A$2:$C$13,3)</f>
        <v>2012Q1</v>
      </c>
    </row>
    <row r="10" spans="1:6" x14ac:dyDescent="0.3">
      <c r="A10" s="1">
        <v>40918</v>
      </c>
      <c r="B10" t="str">
        <f t="shared" si="0"/>
        <v>N</v>
      </c>
      <c r="C10">
        <f t="shared" si="1"/>
        <v>2</v>
      </c>
      <c r="D10" t="str">
        <f t="shared" si="2"/>
        <v>2012W02</v>
      </c>
      <c r="E10" t="str">
        <f>VLOOKUP(D10,segédtábla!$A$2:$C$13,2)</f>
        <v>2012M01</v>
      </c>
      <c r="F10" t="str">
        <f>VLOOKUP(D10,segédtábla!$A$2:$C$13,3)</f>
        <v>2012Q1</v>
      </c>
    </row>
    <row r="11" spans="1:6" x14ac:dyDescent="0.3">
      <c r="A11" s="1">
        <v>40919</v>
      </c>
      <c r="B11" t="str">
        <f t="shared" si="0"/>
        <v>N</v>
      </c>
      <c r="C11">
        <f t="shared" si="1"/>
        <v>2</v>
      </c>
      <c r="D11" t="str">
        <f t="shared" si="2"/>
        <v>2012W02</v>
      </c>
      <c r="E11" t="str">
        <f>VLOOKUP(D11,segédtábla!$A$2:$C$13,2)</f>
        <v>2012M01</v>
      </c>
      <c r="F11" t="str">
        <f>VLOOKUP(D11,segédtábla!$A$2:$C$13,3)</f>
        <v>2012Q1</v>
      </c>
    </row>
    <row r="12" spans="1:6" x14ac:dyDescent="0.3">
      <c r="A12" s="1">
        <v>40920</v>
      </c>
      <c r="B12" t="str">
        <f t="shared" si="0"/>
        <v>N</v>
      </c>
      <c r="C12">
        <f t="shared" si="1"/>
        <v>2</v>
      </c>
      <c r="D12" t="str">
        <f t="shared" si="2"/>
        <v>2012W02</v>
      </c>
      <c r="E12" t="str">
        <f>VLOOKUP(D12,segédtábla!$A$2:$C$13,2)</f>
        <v>2012M01</v>
      </c>
      <c r="F12" t="str">
        <f>VLOOKUP(D12,segédtábla!$A$2:$C$13,3)</f>
        <v>2012Q1</v>
      </c>
    </row>
    <row r="13" spans="1:6" x14ac:dyDescent="0.3">
      <c r="A13" s="1">
        <v>40921</v>
      </c>
      <c r="B13" t="str">
        <f t="shared" si="0"/>
        <v>N</v>
      </c>
      <c r="C13">
        <f t="shared" si="1"/>
        <v>2</v>
      </c>
      <c r="D13" t="str">
        <f t="shared" si="2"/>
        <v>2012W02</v>
      </c>
      <c r="E13" t="str">
        <f>VLOOKUP(D13,segédtábla!$A$2:$C$13,2)</f>
        <v>2012M01</v>
      </c>
      <c r="F13" t="str">
        <f>VLOOKUP(D13,segédtábla!$A$2:$C$13,3)</f>
        <v>2012Q1</v>
      </c>
    </row>
    <row r="14" spans="1:6" x14ac:dyDescent="0.3">
      <c r="A14" s="1">
        <v>40922</v>
      </c>
      <c r="B14" t="str">
        <f t="shared" si="0"/>
        <v>Y</v>
      </c>
      <c r="C14">
        <f t="shared" si="1"/>
        <v>2</v>
      </c>
      <c r="D14" t="str">
        <f t="shared" si="2"/>
        <v>2012W02</v>
      </c>
      <c r="E14" t="str">
        <f>VLOOKUP(D14,segédtábla!$A$2:$C$13,2)</f>
        <v>2012M01</v>
      </c>
      <c r="F14" t="str">
        <f>VLOOKUP(D14,segédtábla!$A$2:$C$13,3)</f>
        <v>2012Q1</v>
      </c>
    </row>
    <row r="15" spans="1:6" x14ac:dyDescent="0.3">
      <c r="A15" s="1">
        <v>40923</v>
      </c>
      <c r="B15" t="str">
        <f t="shared" si="0"/>
        <v>Y</v>
      </c>
      <c r="C15">
        <f t="shared" si="1"/>
        <v>2</v>
      </c>
      <c r="D15" t="str">
        <f t="shared" si="2"/>
        <v>2012W02</v>
      </c>
      <c r="E15" t="str">
        <f>VLOOKUP(D15,segédtábla!$A$2:$C$13,2)</f>
        <v>2012M01</v>
      </c>
      <c r="F15" t="str">
        <f>VLOOKUP(D15,segédtábla!$A$2:$C$13,3)</f>
        <v>2012Q1</v>
      </c>
    </row>
    <row r="16" spans="1:6" x14ac:dyDescent="0.3">
      <c r="A16" s="1">
        <v>40924</v>
      </c>
      <c r="B16" t="str">
        <f t="shared" si="0"/>
        <v>N</v>
      </c>
      <c r="C16">
        <f t="shared" si="1"/>
        <v>3</v>
      </c>
      <c r="D16" t="str">
        <f t="shared" si="2"/>
        <v>2012W03</v>
      </c>
      <c r="E16" t="str">
        <f>VLOOKUP(D16,segédtábla!$A$2:$C$13,2)</f>
        <v>2012M01</v>
      </c>
      <c r="F16" t="str">
        <f>VLOOKUP(D16,segédtábla!$A$2:$C$13,3)</f>
        <v>2012Q1</v>
      </c>
    </row>
    <row r="17" spans="1:6" x14ac:dyDescent="0.3">
      <c r="A17" s="1">
        <v>40925</v>
      </c>
      <c r="B17" t="str">
        <f t="shared" si="0"/>
        <v>N</v>
      </c>
      <c r="C17">
        <f t="shared" si="1"/>
        <v>3</v>
      </c>
      <c r="D17" t="str">
        <f t="shared" si="2"/>
        <v>2012W03</v>
      </c>
      <c r="E17" t="str">
        <f>VLOOKUP(D17,segédtábla!$A$2:$C$13,2)</f>
        <v>2012M01</v>
      </c>
      <c r="F17" t="str">
        <f>VLOOKUP(D17,segédtábla!$A$2:$C$13,3)</f>
        <v>2012Q1</v>
      </c>
    </row>
    <row r="18" spans="1:6" x14ac:dyDescent="0.3">
      <c r="A18" s="1">
        <v>40926</v>
      </c>
      <c r="B18" t="str">
        <f t="shared" si="0"/>
        <v>N</v>
      </c>
      <c r="C18">
        <f t="shared" si="1"/>
        <v>3</v>
      </c>
      <c r="D18" t="str">
        <f t="shared" si="2"/>
        <v>2012W03</v>
      </c>
      <c r="E18" t="str">
        <f>VLOOKUP(D18,segédtábla!$A$2:$C$13,2)</f>
        <v>2012M01</v>
      </c>
      <c r="F18" t="str">
        <f>VLOOKUP(D18,segédtábla!$A$2:$C$13,3)</f>
        <v>2012Q1</v>
      </c>
    </row>
    <row r="19" spans="1:6" x14ac:dyDescent="0.3">
      <c r="A19" s="1">
        <v>40927</v>
      </c>
      <c r="B19" t="str">
        <f t="shared" si="0"/>
        <v>N</v>
      </c>
      <c r="C19">
        <f t="shared" si="1"/>
        <v>3</v>
      </c>
      <c r="D19" t="str">
        <f t="shared" si="2"/>
        <v>2012W03</v>
      </c>
      <c r="E19" t="str">
        <f>VLOOKUP(D19,segédtábla!$A$2:$C$13,2)</f>
        <v>2012M01</v>
      </c>
      <c r="F19" t="str">
        <f>VLOOKUP(D19,segédtábla!$A$2:$C$13,3)</f>
        <v>2012Q1</v>
      </c>
    </row>
    <row r="20" spans="1:6" x14ac:dyDescent="0.3">
      <c r="A20" s="1">
        <v>40928</v>
      </c>
      <c r="B20" t="str">
        <f t="shared" si="0"/>
        <v>N</v>
      </c>
      <c r="C20">
        <f t="shared" si="1"/>
        <v>3</v>
      </c>
      <c r="D20" t="str">
        <f t="shared" si="2"/>
        <v>2012W03</v>
      </c>
      <c r="E20" t="str">
        <f>VLOOKUP(D20,segédtábla!$A$2:$C$13,2)</f>
        <v>2012M01</v>
      </c>
      <c r="F20" t="str">
        <f>VLOOKUP(D20,segédtábla!$A$2:$C$13,3)</f>
        <v>2012Q1</v>
      </c>
    </row>
    <row r="21" spans="1:6" x14ac:dyDescent="0.3">
      <c r="A21" s="1">
        <v>40929</v>
      </c>
      <c r="B21" t="str">
        <f t="shared" si="0"/>
        <v>Y</v>
      </c>
      <c r="C21">
        <f t="shared" si="1"/>
        <v>3</v>
      </c>
      <c r="D21" t="str">
        <f t="shared" si="2"/>
        <v>2012W03</v>
      </c>
      <c r="E21" t="str">
        <f>VLOOKUP(D21,segédtábla!$A$2:$C$13,2)</f>
        <v>2012M01</v>
      </c>
      <c r="F21" t="str">
        <f>VLOOKUP(D21,segédtábla!$A$2:$C$13,3)</f>
        <v>2012Q1</v>
      </c>
    </row>
    <row r="22" spans="1:6" x14ac:dyDescent="0.3">
      <c r="A22" s="1">
        <v>40930</v>
      </c>
      <c r="B22" t="str">
        <f t="shared" si="0"/>
        <v>Y</v>
      </c>
      <c r="C22">
        <f t="shared" si="1"/>
        <v>3</v>
      </c>
      <c r="D22" t="str">
        <f t="shared" si="2"/>
        <v>2012W03</v>
      </c>
      <c r="E22" t="str">
        <f>VLOOKUP(D22,segédtábla!$A$2:$C$13,2)</f>
        <v>2012M01</v>
      </c>
      <c r="F22" t="str">
        <f>VLOOKUP(D22,segédtábla!$A$2:$C$13,3)</f>
        <v>2012Q1</v>
      </c>
    </row>
    <row r="23" spans="1:6" x14ac:dyDescent="0.3">
      <c r="A23" s="1">
        <v>40931</v>
      </c>
      <c r="B23" t="str">
        <f t="shared" si="0"/>
        <v>N</v>
      </c>
      <c r="C23">
        <f t="shared" si="1"/>
        <v>4</v>
      </c>
      <c r="D23" t="str">
        <f t="shared" si="2"/>
        <v>2012W04</v>
      </c>
      <c r="E23" t="str">
        <f>VLOOKUP(D23,segédtábla!$A$2:$C$13,2)</f>
        <v>2012M01</v>
      </c>
      <c r="F23" t="str">
        <f>VLOOKUP(D23,segédtábla!$A$2:$C$13,3)</f>
        <v>2012Q1</v>
      </c>
    </row>
    <row r="24" spans="1:6" x14ac:dyDescent="0.3">
      <c r="A24" s="1">
        <v>40932</v>
      </c>
      <c r="B24" t="str">
        <f t="shared" si="0"/>
        <v>N</v>
      </c>
      <c r="C24">
        <f t="shared" si="1"/>
        <v>4</v>
      </c>
      <c r="D24" t="str">
        <f t="shared" si="2"/>
        <v>2012W04</v>
      </c>
      <c r="E24" t="str">
        <f>VLOOKUP(D24,segédtábla!$A$2:$C$13,2)</f>
        <v>2012M01</v>
      </c>
      <c r="F24" t="str">
        <f>VLOOKUP(D24,segédtábla!$A$2:$C$13,3)</f>
        <v>2012Q1</v>
      </c>
    </row>
    <row r="25" spans="1:6" x14ac:dyDescent="0.3">
      <c r="A25" s="1">
        <v>40933</v>
      </c>
      <c r="B25" t="str">
        <f t="shared" si="0"/>
        <v>N</v>
      </c>
      <c r="C25">
        <f t="shared" si="1"/>
        <v>4</v>
      </c>
      <c r="D25" t="str">
        <f t="shared" si="2"/>
        <v>2012W04</v>
      </c>
      <c r="E25" t="str">
        <f>VLOOKUP(D25,segédtábla!$A$2:$C$13,2)</f>
        <v>2012M01</v>
      </c>
      <c r="F25" t="str">
        <f>VLOOKUP(D25,segédtábla!$A$2:$C$13,3)</f>
        <v>2012Q1</v>
      </c>
    </row>
    <row r="26" spans="1:6" x14ac:dyDescent="0.3">
      <c r="A26" s="1">
        <v>40934</v>
      </c>
      <c r="B26" t="str">
        <f t="shared" si="0"/>
        <v>N</v>
      </c>
      <c r="C26">
        <f t="shared" si="1"/>
        <v>4</v>
      </c>
      <c r="D26" t="str">
        <f t="shared" si="2"/>
        <v>2012W04</v>
      </c>
      <c r="E26" t="str">
        <f>VLOOKUP(D26,segédtábla!$A$2:$C$13,2)</f>
        <v>2012M01</v>
      </c>
      <c r="F26" t="str">
        <f>VLOOKUP(D26,segédtábla!$A$2:$C$13,3)</f>
        <v>2012Q1</v>
      </c>
    </row>
    <row r="27" spans="1:6" x14ac:dyDescent="0.3">
      <c r="A27" s="1">
        <v>40935</v>
      </c>
      <c r="B27" t="str">
        <f t="shared" si="0"/>
        <v>N</v>
      </c>
      <c r="C27">
        <f t="shared" si="1"/>
        <v>4</v>
      </c>
      <c r="D27" t="str">
        <f t="shared" si="2"/>
        <v>2012W04</v>
      </c>
      <c r="E27" t="str">
        <f>VLOOKUP(D27,segédtábla!$A$2:$C$13,2)</f>
        <v>2012M01</v>
      </c>
      <c r="F27" t="str">
        <f>VLOOKUP(D27,segédtábla!$A$2:$C$13,3)</f>
        <v>2012Q1</v>
      </c>
    </row>
    <row r="28" spans="1:6" x14ac:dyDescent="0.3">
      <c r="A28" s="1">
        <v>40936</v>
      </c>
      <c r="B28" t="str">
        <f t="shared" si="0"/>
        <v>Y</v>
      </c>
      <c r="C28">
        <f t="shared" si="1"/>
        <v>4</v>
      </c>
      <c r="D28" t="str">
        <f t="shared" si="2"/>
        <v>2012W04</v>
      </c>
      <c r="E28" t="str">
        <f>VLOOKUP(D28,segédtábla!$A$2:$C$13,2)</f>
        <v>2012M01</v>
      </c>
      <c r="F28" t="str">
        <f>VLOOKUP(D28,segédtábla!$A$2:$C$13,3)</f>
        <v>2012Q1</v>
      </c>
    </row>
    <row r="29" spans="1:6" x14ac:dyDescent="0.3">
      <c r="A29" s="1">
        <v>40937</v>
      </c>
      <c r="B29" t="str">
        <f t="shared" si="0"/>
        <v>Y</v>
      </c>
      <c r="C29">
        <f t="shared" si="1"/>
        <v>4</v>
      </c>
      <c r="D29" t="str">
        <f t="shared" si="2"/>
        <v>2012W04</v>
      </c>
      <c r="E29" t="str">
        <f>VLOOKUP(D29,segédtábla!$A$2:$C$13,2)</f>
        <v>2012M01</v>
      </c>
      <c r="F29" t="str">
        <f>VLOOKUP(D29,segédtábla!$A$2:$C$13,3)</f>
        <v>2012Q1</v>
      </c>
    </row>
    <row r="30" spans="1:6" x14ac:dyDescent="0.3">
      <c r="A30" s="1">
        <v>40938</v>
      </c>
      <c r="B30" t="str">
        <f t="shared" si="0"/>
        <v>N</v>
      </c>
      <c r="C30">
        <f t="shared" si="1"/>
        <v>5</v>
      </c>
      <c r="D30" t="str">
        <f t="shared" si="2"/>
        <v>2012W05</v>
      </c>
      <c r="E30" t="str">
        <f>VLOOKUP(D30,segédtábla!$A$2:$C$13,2)</f>
        <v>2012M02</v>
      </c>
      <c r="F30" t="str">
        <f>VLOOKUP(D30,segédtábla!$A$2:$C$13,3)</f>
        <v>2012Q1</v>
      </c>
    </row>
    <row r="31" spans="1:6" x14ac:dyDescent="0.3">
      <c r="A31" s="1">
        <v>40939</v>
      </c>
      <c r="B31" t="str">
        <f t="shared" si="0"/>
        <v>N</v>
      </c>
      <c r="C31">
        <f t="shared" si="1"/>
        <v>5</v>
      </c>
      <c r="D31" t="str">
        <f t="shared" si="2"/>
        <v>2012W05</v>
      </c>
      <c r="E31" t="str">
        <f>VLOOKUP(D31,segédtábla!$A$2:$C$13,2)</f>
        <v>2012M02</v>
      </c>
      <c r="F31" t="str">
        <f>VLOOKUP(D31,segédtábla!$A$2:$C$13,3)</f>
        <v>2012Q1</v>
      </c>
    </row>
    <row r="32" spans="1:6" x14ac:dyDescent="0.3">
      <c r="A32" s="1">
        <v>40940</v>
      </c>
      <c r="B32" t="str">
        <f t="shared" si="0"/>
        <v>N</v>
      </c>
      <c r="C32">
        <f t="shared" si="1"/>
        <v>5</v>
      </c>
      <c r="D32" t="str">
        <f t="shared" si="2"/>
        <v>2012W05</v>
      </c>
      <c r="E32" t="str">
        <f>VLOOKUP(D32,segédtábla!$A$2:$C$13,2)</f>
        <v>2012M02</v>
      </c>
      <c r="F32" t="str">
        <f>VLOOKUP(D32,segédtábla!$A$2:$C$13,3)</f>
        <v>2012Q1</v>
      </c>
    </row>
    <row r="33" spans="1:6" x14ac:dyDescent="0.3">
      <c r="A33" s="1">
        <v>40941</v>
      </c>
      <c r="B33" t="str">
        <f t="shared" si="0"/>
        <v>N</v>
      </c>
      <c r="C33">
        <f t="shared" si="1"/>
        <v>5</v>
      </c>
      <c r="D33" t="str">
        <f t="shared" si="2"/>
        <v>2012W05</v>
      </c>
      <c r="E33" t="str">
        <f>VLOOKUP(D33,segédtábla!$A$2:$C$13,2)</f>
        <v>2012M02</v>
      </c>
      <c r="F33" t="str">
        <f>VLOOKUP(D33,segédtábla!$A$2:$C$13,3)</f>
        <v>2012Q1</v>
      </c>
    </row>
    <row r="34" spans="1:6" x14ac:dyDescent="0.3">
      <c r="A34" s="1">
        <v>40942</v>
      </c>
      <c r="B34" t="str">
        <f t="shared" si="0"/>
        <v>N</v>
      </c>
      <c r="C34">
        <f t="shared" si="1"/>
        <v>5</v>
      </c>
      <c r="D34" t="str">
        <f t="shared" si="2"/>
        <v>2012W05</v>
      </c>
      <c r="E34" t="str">
        <f>VLOOKUP(D34,segédtábla!$A$2:$C$13,2)</f>
        <v>2012M02</v>
      </c>
      <c r="F34" t="str">
        <f>VLOOKUP(D34,segédtábla!$A$2:$C$13,3)</f>
        <v>2012Q1</v>
      </c>
    </row>
    <row r="35" spans="1:6" x14ac:dyDescent="0.3">
      <c r="A35" s="1">
        <v>40943</v>
      </c>
      <c r="B35" t="str">
        <f t="shared" si="0"/>
        <v>Y</v>
      </c>
      <c r="C35">
        <f t="shared" si="1"/>
        <v>5</v>
      </c>
      <c r="D35" t="str">
        <f t="shared" si="2"/>
        <v>2012W05</v>
      </c>
      <c r="E35" t="str">
        <f>VLOOKUP(D35,segédtábla!$A$2:$C$13,2)</f>
        <v>2012M02</v>
      </c>
      <c r="F35" t="str">
        <f>VLOOKUP(D35,segédtábla!$A$2:$C$13,3)</f>
        <v>2012Q1</v>
      </c>
    </row>
    <row r="36" spans="1:6" x14ac:dyDescent="0.3">
      <c r="A36" s="1">
        <v>40944</v>
      </c>
      <c r="B36" t="str">
        <f t="shared" si="0"/>
        <v>Y</v>
      </c>
      <c r="C36">
        <f t="shared" si="1"/>
        <v>5</v>
      </c>
      <c r="D36" t="str">
        <f t="shared" si="2"/>
        <v>2012W05</v>
      </c>
      <c r="E36" t="str">
        <f>VLOOKUP(D36,segédtábla!$A$2:$C$13,2)</f>
        <v>2012M02</v>
      </c>
      <c r="F36" t="str">
        <f>VLOOKUP(D36,segédtábla!$A$2:$C$13,3)</f>
        <v>2012Q1</v>
      </c>
    </row>
    <row r="37" spans="1:6" x14ac:dyDescent="0.3">
      <c r="A37" s="1">
        <v>40945</v>
      </c>
      <c r="B37" t="str">
        <f t="shared" si="0"/>
        <v>N</v>
      </c>
      <c r="C37">
        <f t="shared" si="1"/>
        <v>6</v>
      </c>
      <c r="D37" t="str">
        <f t="shared" si="2"/>
        <v>2012W06</v>
      </c>
      <c r="E37" t="str">
        <f>VLOOKUP(D37,segédtábla!$A$2:$C$13,2)</f>
        <v>2012M02</v>
      </c>
      <c r="F37" t="str">
        <f>VLOOKUP(D37,segédtábla!$A$2:$C$13,3)</f>
        <v>2012Q1</v>
      </c>
    </row>
    <row r="38" spans="1:6" x14ac:dyDescent="0.3">
      <c r="A38" s="1">
        <v>40946</v>
      </c>
      <c r="B38" t="str">
        <f t="shared" si="0"/>
        <v>N</v>
      </c>
      <c r="C38">
        <f t="shared" si="1"/>
        <v>6</v>
      </c>
      <c r="D38" t="str">
        <f t="shared" si="2"/>
        <v>2012W06</v>
      </c>
      <c r="E38" t="str">
        <f>VLOOKUP(D38,segédtábla!$A$2:$C$13,2)</f>
        <v>2012M02</v>
      </c>
      <c r="F38" t="str">
        <f>VLOOKUP(D38,segédtábla!$A$2:$C$13,3)</f>
        <v>2012Q1</v>
      </c>
    </row>
    <row r="39" spans="1:6" x14ac:dyDescent="0.3">
      <c r="A39" s="1">
        <v>40947</v>
      </c>
      <c r="B39" t="str">
        <f t="shared" si="0"/>
        <v>N</v>
      </c>
      <c r="C39">
        <f t="shared" si="1"/>
        <v>6</v>
      </c>
      <c r="D39" t="str">
        <f t="shared" si="2"/>
        <v>2012W06</v>
      </c>
      <c r="E39" t="str">
        <f>VLOOKUP(D39,segédtábla!$A$2:$C$13,2)</f>
        <v>2012M02</v>
      </c>
      <c r="F39" t="str">
        <f>VLOOKUP(D39,segédtábla!$A$2:$C$13,3)</f>
        <v>2012Q1</v>
      </c>
    </row>
    <row r="40" spans="1:6" x14ac:dyDescent="0.3">
      <c r="A40" s="1">
        <v>40948</v>
      </c>
      <c r="B40" t="str">
        <f t="shared" si="0"/>
        <v>N</v>
      </c>
      <c r="C40">
        <f t="shared" si="1"/>
        <v>6</v>
      </c>
      <c r="D40" t="str">
        <f t="shared" si="2"/>
        <v>2012W06</v>
      </c>
      <c r="E40" t="str">
        <f>VLOOKUP(D40,segédtábla!$A$2:$C$13,2)</f>
        <v>2012M02</v>
      </c>
      <c r="F40" t="str">
        <f>VLOOKUP(D40,segédtábla!$A$2:$C$13,3)</f>
        <v>2012Q1</v>
      </c>
    </row>
    <row r="41" spans="1:6" x14ac:dyDescent="0.3">
      <c r="A41" s="1">
        <v>40949</v>
      </c>
      <c r="B41" t="str">
        <f t="shared" si="0"/>
        <v>N</v>
      </c>
      <c r="C41">
        <f t="shared" si="1"/>
        <v>6</v>
      </c>
      <c r="D41" t="str">
        <f t="shared" si="2"/>
        <v>2012W06</v>
      </c>
      <c r="E41" t="str">
        <f>VLOOKUP(D41,segédtábla!$A$2:$C$13,2)</f>
        <v>2012M02</v>
      </c>
      <c r="F41" t="str">
        <f>VLOOKUP(D41,segédtábla!$A$2:$C$13,3)</f>
        <v>2012Q1</v>
      </c>
    </row>
    <row r="42" spans="1:6" x14ac:dyDescent="0.3">
      <c r="A42" s="1">
        <v>40950</v>
      </c>
      <c r="B42" t="str">
        <f t="shared" si="0"/>
        <v>Y</v>
      </c>
      <c r="C42">
        <f t="shared" si="1"/>
        <v>6</v>
      </c>
      <c r="D42" t="str">
        <f t="shared" si="2"/>
        <v>2012W06</v>
      </c>
      <c r="E42" t="str">
        <f>VLOOKUP(D42,segédtábla!$A$2:$C$13,2)</f>
        <v>2012M02</v>
      </c>
      <c r="F42" t="str">
        <f>VLOOKUP(D42,segédtábla!$A$2:$C$13,3)</f>
        <v>2012Q1</v>
      </c>
    </row>
    <row r="43" spans="1:6" x14ac:dyDescent="0.3">
      <c r="A43" s="1">
        <v>40951</v>
      </c>
      <c r="B43" t="str">
        <f t="shared" si="0"/>
        <v>Y</v>
      </c>
      <c r="C43">
        <f t="shared" si="1"/>
        <v>6</v>
      </c>
      <c r="D43" t="str">
        <f t="shared" si="2"/>
        <v>2012W06</v>
      </c>
      <c r="E43" t="str">
        <f>VLOOKUP(D43,segédtábla!$A$2:$C$13,2)</f>
        <v>2012M02</v>
      </c>
      <c r="F43" t="str">
        <f>VLOOKUP(D43,segédtábla!$A$2:$C$13,3)</f>
        <v>2012Q1</v>
      </c>
    </row>
    <row r="44" spans="1:6" x14ac:dyDescent="0.3">
      <c r="A44" s="1">
        <v>40952</v>
      </c>
      <c r="B44" t="str">
        <f t="shared" si="0"/>
        <v>N</v>
      </c>
      <c r="C44">
        <f t="shared" si="1"/>
        <v>7</v>
      </c>
      <c r="D44" t="str">
        <f t="shared" si="2"/>
        <v>2012W07</v>
      </c>
      <c r="E44" t="str">
        <f>VLOOKUP(D44,segédtábla!$A$2:$C$13,2)</f>
        <v>2012M02</v>
      </c>
      <c r="F44" t="str">
        <f>VLOOKUP(D44,segédtábla!$A$2:$C$13,3)</f>
        <v>2012Q1</v>
      </c>
    </row>
    <row r="45" spans="1:6" x14ac:dyDescent="0.3">
      <c r="A45" s="1">
        <v>40953</v>
      </c>
      <c r="B45" t="str">
        <f t="shared" si="0"/>
        <v>N</v>
      </c>
      <c r="C45">
        <f t="shared" si="1"/>
        <v>7</v>
      </c>
      <c r="D45" t="str">
        <f t="shared" si="2"/>
        <v>2012W07</v>
      </c>
      <c r="E45" t="str">
        <f>VLOOKUP(D45,segédtábla!$A$2:$C$13,2)</f>
        <v>2012M02</v>
      </c>
      <c r="F45" t="str">
        <f>VLOOKUP(D45,segédtábla!$A$2:$C$13,3)</f>
        <v>2012Q1</v>
      </c>
    </row>
    <row r="46" spans="1:6" x14ac:dyDescent="0.3">
      <c r="A46" s="1">
        <v>40954</v>
      </c>
      <c r="B46" t="str">
        <f t="shared" si="0"/>
        <v>N</v>
      </c>
      <c r="C46">
        <f t="shared" si="1"/>
        <v>7</v>
      </c>
      <c r="D46" t="str">
        <f t="shared" si="2"/>
        <v>2012W07</v>
      </c>
      <c r="E46" t="str">
        <f>VLOOKUP(D46,segédtábla!$A$2:$C$13,2)</f>
        <v>2012M02</v>
      </c>
      <c r="F46" t="str">
        <f>VLOOKUP(D46,segédtábla!$A$2:$C$13,3)</f>
        <v>2012Q1</v>
      </c>
    </row>
    <row r="47" spans="1:6" x14ac:dyDescent="0.3">
      <c r="A47" s="1">
        <v>40955</v>
      </c>
      <c r="B47" t="str">
        <f t="shared" si="0"/>
        <v>N</v>
      </c>
      <c r="C47">
        <f t="shared" si="1"/>
        <v>7</v>
      </c>
      <c r="D47" t="str">
        <f t="shared" si="2"/>
        <v>2012W07</v>
      </c>
      <c r="E47" t="str">
        <f>VLOOKUP(D47,segédtábla!$A$2:$C$13,2)</f>
        <v>2012M02</v>
      </c>
      <c r="F47" t="str">
        <f>VLOOKUP(D47,segédtábla!$A$2:$C$13,3)</f>
        <v>2012Q1</v>
      </c>
    </row>
    <row r="48" spans="1:6" x14ac:dyDescent="0.3">
      <c r="A48" s="1">
        <v>40956</v>
      </c>
      <c r="B48" t="str">
        <f t="shared" si="0"/>
        <v>N</v>
      </c>
      <c r="C48">
        <f t="shared" si="1"/>
        <v>7</v>
      </c>
      <c r="D48" t="str">
        <f t="shared" si="2"/>
        <v>2012W07</v>
      </c>
      <c r="E48" t="str">
        <f>VLOOKUP(D48,segédtábla!$A$2:$C$13,2)</f>
        <v>2012M02</v>
      </c>
      <c r="F48" t="str">
        <f>VLOOKUP(D48,segédtábla!$A$2:$C$13,3)</f>
        <v>2012Q1</v>
      </c>
    </row>
    <row r="49" spans="1:6" x14ac:dyDescent="0.3">
      <c r="A49" s="1">
        <v>40957</v>
      </c>
      <c r="B49" t="str">
        <f t="shared" si="0"/>
        <v>Y</v>
      </c>
      <c r="C49">
        <f t="shared" si="1"/>
        <v>7</v>
      </c>
      <c r="D49" t="str">
        <f t="shared" si="2"/>
        <v>2012W07</v>
      </c>
      <c r="E49" t="str">
        <f>VLOOKUP(D49,segédtábla!$A$2:$C$13,2)</f>
        <v>2012M02</v>
      </c>
      <c r="F49" t="str">
        <f>VLOOKUP(D49,segédtábla!$A$2:$C$13,3)</f>
        <v>2012Q1</v>
      </c>
    </row>
    <row r="50" spans="1:6" x14ac:dyDescent="0.3">
      <c r="A50" s="1">
        <v>40958</v>
      </c>
      <c r="B50" t="str">
        <f t="shared" si="0"/>
        <v>Y</v>
      </c>
      <c r="C50">
        <f t="shared" si="1"/>
        <v>7</v>
      </c>
      <c r="D50" t="str">
        <f t="shared" si="2"/>
        <v>2012W07</v>
      </c>
      <c r="E50" t="str">
        <f>VLOOKUP(D50,segédtábla!$A$2:$C$13,2)</f>
        <v>2012M02</v>
      </c>
      <c r="F50" t="str">
        <f>VLOOKUP(D50,segédtábla!$A$2:$C$13,3)</f>
        <v>2012Q1</v>
      </c>
    </row>
    <row r="51" spans="1:6" x14ac:dyDescent="0.3">
      <c r="A51" s="1">
        <v>40959</v>
      </c>
      <c r="B51" t="str">
        <f t="shared" si="0"/>
        <v>N</v>
      </c>
      <c r="C51">
        <f t="shared" si="1"/>
        <v>8</v>
      </c>
      <c r="D51" t="str">
        <f t="shared" si="2"/>
        <v>2012W08</v>
      </c>
      <c r="E51" t="str">
        <f>VLOOKUP(D51,segédtábla!$A$2:$C$13,2)</f>
        <v>2012M02</v>
      </c>
      <c r="F51" t="str">
        <f>VLOOKUP(D51,segédtábla!$A$2:$C$13,3)</f>
        <v>2012Q1</v>
      </c>
    </row>
    <row r="52" spans="1:6" x14ac:dyDescent="0.3">
      <c r="A52" s="1">
        <v>40960</v>
      </c>
      <c r="B52" t="str">
        <f t="shared" si="0"/>
        <v>N</v>
      </c>
      <c r="C52">
        <f t="shared" si="1"/>
        <v>8</v>
      </c>
      <c r="D52" t="str">
        <f t="shared" si="2"/>
        <v>2012W08</v>
      </c>
      <c r="E52" t="str">
        <f>VLOOKUP(D52,segédtábla!$A$2:$C$13,2)</f>
        <v>2012M02</v>
      </c>
      <c r="F52" t="str">
        <f>VLOOKUP(D52,segédtábla!$A$2:$C$13,3)</f>
        <v>2012Q1</v>
      </c>
    </row>
    <row r="53" spans="1:6" x14ac:dyDescent="0.3">
      <c r="A53" s="1">
        <v>40961</v>
      </c>
      <c r="B53" t="str">
        <f t="shared" si="0"/>
        <v>N</v>
      </c>
      <c r="C53">
        <f t="shared" si="1"/>
        <v>8</v>
      </c>
      <c r="D53" t="str">
        <f t="shared" si="2"/>
        <v>2012W08</v>
      </c>
      <c r="E53" t="str">
        <f>VLOOKUP(D53,segédtábla!$A$2:$C$13,2)</f>
        <v>2012M02</v>
      </c>
      <c r="F53" t="str">
        <f>VLOOKUP(D53,segédtábla!$A$2:$C$13,3)</f>
        <v>2012Q1</v>
      </c>
    </row>
    <row r="54" spans="1:6" x14ac:dyDescent="0.3">
      <c r="A54" s="1">
        <v>40962</v>
      </c>
      <c r="B54" t="str">
        <f t="shared" si="0"/>
        <v>N</v>
      </c>
      <c r="C54">
        <f t="shared" si="1"/>
        <v>8</v>
      </c>
      <c r="D54" t="str">
        <f t="shared" si="2"/>
        <v>2012W08</v>
      </c>
      <c r="E54" t="str">
        <f>VLOOKUP(D54,segédtábla!$A$2:$C$13,2)</f>
        <v>2012M02</v>
      </c>
      <c r="F54" t="str">
        <f>VLOOKUP(D54,segédtábla!$A$2:$C$13,3)</f>
        <v>2012Q1</v>
      </c>
    </row>
    <row r="55" spans="1:6" x14ac:dyDescent="0.3">
      <c r="A55" s="1">
        <v>40963</v>
      </c>
      <c r="B55" t="str">
        <f t="shared" si="0"/>
        <v>N</v>
      </c>
      <c r="C55">
        <f t="shared" si="1"/>
        <v>8</v>
      </c>
      <c r="D55" t="str">
        <f t="shared" si="2"/>
        <v>2012W08</v>
      </c>
      <c r="E55" t="str">
        <f>VLOOKUP(D55,segédtábla!$A$2:$C$13,2)</f>
        <v>2012M02</v>
      </c>
      <c r="F55" t="str">
        <f>VLOOKUP(D55,segédtábla!$A$2:$C$13,3)</f>
        <v>2012Q1</v>
      </c>
    </row>
    <row r="56" spans="1:6" x14ac:dyDescent="0.3">
      <c r="A56" s="1">
        <v>40964</v>
      </c>
      <c r="B56" t="str">
        <f t="shared" si="0"/>
        <v>Y</v>
      </c>
      <c r="C56">
        <f t="shared" si="1"/>
        <v>8</v>
      </c>
      <c r="D56" t="str">
        <f t="shared" si="2"/>
        <v>2012W08</v>
      </c>
      <c r="E56" t="str">
        <f>VLOOKUP(D56,segédtábla!$A$2:$C$13,2)</f>
        <v>2012M02</v>
      </c>
      <c r="F56" t="str">
        <f>VLOOKUP(D56,segédtábla!$A$2:$C$13,3)</f>
        <v>2012Q1</v>
      </c>
    </row>
    <row r="57" spans="1:6" x14ac:dyDescent="0.3">
      <c r="A57" s="1">
        <v>40965</v>
      </c>
      <c r="B57" t="str">
        <f t="shared" si="0"/>
        <v>Y</v>
      </c>
      <c r="C57">
        <f t="shared" si="1"/>
        <v>8</v>
      </c>
      <c r="D57" t="str">
        <f t="shared" si="2"/>
        <v>2012W08</v>
      </c>
      <c r="E57" t="str">
        <f>VLOOKUP(D57,segédtábla!$A$2:$C$13,2)</f>
        <v>2012M02</v>
      </c>
      <c r="F57" t="str">
        <f>VLOOKUP(D57,segédtábla!$A$2:$C$13,3)</f>
        <v>2012Q1</v>
      </c>
    </row>
    <row r="58" spans="1:6" x14ac:dyDescent="0.3">
      <c r="A58" s="1">
        <v>40966</v>
      </c>
      <c r="B58" t="str">
        <f t="shared" si="0"/>
        <v>N</v>
      </c>
      <c r="C58">
        <f t="shared" si="1"/>
        <v>9</v>
      </c>
      <c r="D58" t="str">
        <f t="shared" si="2"/>
        <v>2012W09</v>
      </c>
      <c r="E58" t="str">
        <f>VLOOKUP(D58,segédtábla!$A$2:$C$13,2)</f>
        <v>2012M02</v>
      </c>
      <c r="F58" t="str">
        <f>VLOOKUP(D58,segédtábla!$A$2:$C$13,3)</f>
        <v>2012Q1</v>
      </c>
    </row>
    <row r="59" spans="1:6" x14ac:dyDescent="0.3">
      <c r="A59" s="1">
        <v>40967</v>
      </c>
      <c r="B59" t="str">
        <f t="shared" si="0"/>
        <v>N</v>
      </c>
      <c r="C59">
        <f t="shared" si="1"/>
        <v>9</v>
      </c>
      <c r="D59" t="str">
        <f t="shared" si="2"/>
        <v>2012W09</v>
      </c>
      <c r="E59" t="str">
        <f>VLOOKUP(D59,segédtábla!$A$2:$C$13,2)</f>
        <v>2012M02</v>
      </c>
      <c r="F59" t="str">
        <f>VLOOKUP(D59,segédtábla!$A$2:$C$13,3)</f>
        <v>2012Q1</v>
      </c>
    </row>
    <row r="60" spans="1:6" x14ac:dyDescent="0.3">
      <c r="A60" s="1">
        <v>40968</v>
      </c>
      <c r="B60" t="str">
        <f t="shared" si="0"/>
        <v>N</v>
      </c>
      <c r="C60">
        <f t="shared" si="1"/>
        <v>9</v>
      </c>
      <c r="D60" t="str">
        <f t="shared" si="2"/>
        <v>2012W09</v>
      </c>
      <c r="E60" t="str">
        <f>VLOOKUP(D60,segédtábla!$A$2:$C$13,2)</f>
        <v>2012M02</v>
      </c>
      <c r="F60" t="str">
        <f>VLOOKUP(D60,segédtábla!$A$2:$C$13,3)</f>
        <v>2012Q1</v>
      </c>
    </row>
    <row r="61" spans="1:6" x14ac:dyDescent="0.3">
      <c r="A61" s="1">
        <v>40969</v>
      </c>
      <c r="B61" t="str">
        <f t="shared" si="0"/>
        <v>N</v>
      </c>
      <c r="C61">
        <f t="shared" si="1"/>
        <v>9</v>
      </c>
      <c r="D61" t="str">
        <f t="shared" si="2"/>
        <v>2012W09</v>
      </c>
      <c r="E61" t="str">
        <f>VLOOKUP(D61,segédtábla!$A$2:$C$13,2)</f>
        <v>2012M02</v>
      </c>
      <c r="F61" t="str">
        <f>VLOOKUP(D61,segédtábla!$A$2:$C$13,3)</f>
        <v>2012Q1</v>
      </c>
    </row>
    <row r="62" spans="1:6" x14ac:dyDescent="0.3">
      <c r="A62" s="1">
        <v>40970</v>
      </c>
      <c r="B62" t="str">
        <f t="shared" si="0"/>
        <v>N</v>
      </c>
      <c r="C62">
        <f t="shared" si="1"/>
        <v>9</v>
      </c>
      <c r="D62" t="str">
        <f t="shared" si="2"/>
        <v>2012W09</v>
      </c>
      <c r="E62" t="str">
        <f>VLOOKUP(D62,segédtábla!$A$2:$C$13,2)</f>
        <v>2012M02</v>
      </c>
      <c r="F62" t="str">
        <f>VLOOKUP(D62,segédtábla!$A$2:$C$13,3)</f>
        <v>2012Q1</v>
      </c>
    </row>
    <row r="63" spans="1:6" x14ac:dyDescent="0.3">
      <c r="A63" s="1">
        <v>40971</v>
      </c>
      <c r="B63" t="str">
        <f t="shared" si="0"/>
        <v>Y</v>
      </c>
      <c r="C63">
        <f t="shared" si="1"/>
        <v>9</v>
      </c>
      <c r="D63" t="str">
        <f t="shared" si="2"/>
        <v>2012W09</v>
      </c>
      <c r="E63" t="str">
        <f>VLOOKUP(D63,segédtábla!$A$2:$C$13,2)</f>
        <v>2012M02</v>
      </c>
      <c r="F63" t="str">
        <f>VLOOKUP(D63,segédtábla!$A$2:$C$13,3)</f>
        <v>2012Q1</v>
      </c>
    </row>
    <row r="64" spans="1:6" x14ac:dyDescent="0.3">
      <c r="A64" s="1">
        <v>40972</v>
      </c>
      <c r="B64" t="str">
        <f t="shared" si="0"/>
        <v>Y</v>
      </c>
      <c r="C64">
        <f t="shared" si="1"/>
        <v>9</v>
      </c>
      <c r="D64" t="str">
        <f t="shared" si="2"/>
        <v>2012W09</v>
      </c>
      <c r="E64" t="str">
        <f>VLOOKUP(D64,segédtábla!$A$2:$C$13,2)</f>
        <v>2012M02</v>
      </c>
      <c r="F64" t="str">
        <f>VLOOKUP(D64,segédtábla!$A$2:$C$13,3)</f>
        <v>2012Q1</v>
      </c>
    </row>
    <row r="65" spans="1:6" x14ac:dyDescent="0.3">
      <c r="A65" s="1">
        <v>40973</v>
      </c>
      <c r="B65" t="str">
        <f t="shared" si="0"/>
        <v>N</v>
      </c>
      <c r="C65">
        <f t="shared" si="1"/>
        <v>10</v>
      </c>
      <c r="D65" t="str">
        <f t="shared" si="2"/>
        <v>2012W10</v>
      </c>
      <c r="E65" t="str">
        <f>VLOOKUP(D65,segédtábla!$A$2:$C$13,2)</f>
        <v>2012M03</v>
      </c>
      <c r="F65" t="str">
        <f>VLOOKUP(D65,segédtábla!$A$2:$C$13,3)</f>
        <v>2012Q1</v>
      </c>
    </row>
    <row r="66" spans="1:6" x14ac:dyDescent="0.3">
      <c r="A66" s="1">
        <v>40974</v>
      </c>
      <c r="B66" t="str">
        <f t="shared" si="0"/>
        <v>N</v>
      </c>
      <c r="C66">
        <f t="shared" si="1"/>
        <v>10</v>
      </c>
      <c r="D66" t="str">
        <f t="shared" si="2"/>
        <v>2012W10</v>
      </c>
      <c r="E66" t="str">
        <f>VLOOKUP(D66,segédtábla!$A$2:$C$13,2)</f>
        <v>2012M03</v>
      </c>
      <c r="F66" t="str">
        <f>VLOOKUP(D66,segédtábla!$A$2:$C$13,3)</f>
        <v>2012Q1</v>
      </c>
    </row>
    <row r="67" spans="1:6" x14ac:dyDescent="0.3">
      <c r="A67" s="1">
        <v>40975</v>
      </c>
      <c r="B67" t="str">
        <f t="shared" ref="B67:B130" si="3">IF(WEEKDAY(A67,2)&gt;5,"Y","N")</f>
        <v>N</v>
      </c>
      <c r="C67">
        <f t="shared" ref="C67:C130" si="4">_xlfn.ISOWEEKNUM(A67)</f>
        <v>10</v>
      </c>
      <c r="D67" t="str">
        <f t="shared" ref="D67:D130" si="5">YEAR(A67)&amp;"W"&amp;IF(C67&lt;10,0&amp;C67,C67)</f>
        <v>2012W10</v>
      </c>
      <c r="E67" t="str">
        <f>VLOOKUP(D67,segédtábla!$A$2:$C$13,2)</f>
        <v>2012M03</v>
      </c>
      <c r="F67" t="str">
        <f>VLOOKUP(D67,segédtábla!$A$2:$C$13,3)</f>
        <v>2012Q1</v>
      </c>
    </row>
    <row r="68" spans="1:6" x14ac:dyDescent="0.3">
      <c r="A68" s="1">
        <v>40976</v>
      </c>
      <c r="B68" t="str">
        <f t="shared" si="3"/>
        <v>N</v>
      </c>
      <c r="C68">
        <f t="shared" si="4"/>
        <v>10</v>
      </c>
      <c r="D68" t="str">
        <f t="shared" si="5"/>
        <v>2012W10</v>
      </c>
      <c r="E68" t="str">
        <f>VLOOKUP(D68,segédtábla!$A$2:$C$13,2)</f>
        <v>2012M03</v>
      </c>
      <c r="F68" t="str">
        <f>VLOOKUP(D68,segédtábla!$A$2:$C$13,3)</f>
        <v>2012Q1</v>
      </c>
    </row>
    <row r="69" spans="1:6" x14ac:dyDescent="0.3">
      <c r="A69" s="1">
        <v>40977</v>
      </c>
      <c r="B69" t="str">
        <f t="shared" si="3"/>
        <v>N</v>
      </c>
      <c r="C69">
        <f t="shared" si="4"/>
        <v>10</v>
      </c>
      <c r="D69" t="str">
        <f t="shared" si="5"/>
        <v>2012W10</v>
      </c>
      <c r="E69" t="str">
        <f>VLOOKUP(D69,segédtábla!$A$2:$C$13,2)</f>
        <v>2012M03</v>
      </c>
      <c r="F69" t="str">
        <f>VLOOKUP(D69,segédtábla!$A$2:$C$13,3)</f>
        <v>2012Q1</v>
      </c>
    </row>
    <row r="70" spans="1:6" x14ac:dyDescent="0.3">
      <c r="A70" s="1">
        <v>40978</v>
      </c>
      <c r="B70" t="str">
        <f t="shared" si="3"/>
        <v>Y</v>
      </c>
      <c r="C70">
        <f t="shared" si="4"/>
        <v>10</v>
      </c>
      <c r="D70" t="str">
        <f t="shared" si="5"/>
        <v>2012W10</v>
      </c>
      <c r="E70" t="str">
        <f>VLOOKUP(D70,segédtábla!$A$2:$C$13,2)</f>
        <v>2012M03</v>
      </c>
      <c r="F70" t="str">
        <f>VLOOKUP(D70,segédtábla!$A$2:$C$13,3)</f>
        <v>2012Q1</v>
      </c>
    </row>
    <row r="71" spans="1:6" x14ac:dyDescent="0.3">
      <c r="A71" s="1">
        <v>40979</v>
      </c>
      <c r="B71" t="str">
        <f t="shared" si="3"/>
        <v>Y</v>
      </c>
      <c r="C71">
        <f t="shared" si="4"/>
        <v>10</v>
      </c>
      <c r="D71" t="str">
        <f t="shared" si="5"/>
        <v>2012W10</v>
      </c>
      <c r="E71" t="str">
        <f>VLOOKUP(D71,segédtábla!$A$2:$C$13,2)</f>
        <v>2012M03</v>
      </c>
      <c r="F71" t="str">
        <f>VLOOKUP(D71,segédtábla!$A$2:$C$13,3)</f>
        <v>2012Q1</v>
      </c>
    </row>
    <row r="72" spans="1:6" x14ac:dyDescent="0.3">
      <c r="A72" s="1">
        <v>40980</v>
      </c>
      <c r="B72" t="str">
        <f t="shared" si="3"/>
        <v>N</v>
      </c>
      <c r="C72">
        <f t="shared" si="4"/>
        <v>11</v>
      </c>
      <c r="D72" t="str">
        <f t="shared" si="5"/>
        <v>2012W11</v>
      </c>
      <c r="E72" t="str">
        <f>VLOOKUP(D72,segédtábla!$A$2:$C$13,2)</f>
        <v>2012M03</v>
      </c>
      <c r="F72" t="str">
        <f>VLOOKUP(D72,segédtábla!$A$2:$C$13,3)</f>
        <v>2012Q1</v>
      </c>
    </row>
    <row r="73" spans="1:6" x14ac:dyDescent="0.3">
      <c r="A73" s="1">
        <v>40981</v>
      </c>
      <c r="B73" t="str">
        <f t="shared" si="3"/>
        <v>N</v>
      </c>
      <c r="C73">
        <f t="shared" si="4"/>
        <v>11</v>
      </c>
      <c r="D73" t="str">
        <f t="shared" si="5"/>
        <v>2012W11</v>
      </c>
      <c r="E73" t="str">
        <f>VLOOKUP(D73,segédtábla!$A$2:$C$13,2)</f>
        <v>2012M03</v>
      </c>
      <c r="F73" t="str">
        <f>VLOOKUP(D73,segédtábla!$A$2:$C$13,3)</f>
        <v>2012Q1</v>
      </c>
    </row>
    <row r="74" spans="1:6" x14ac:dyDescent="0.3">
      <c r="A74" s="1">
        <v>40982</v>
      </c>
      <c r="B74" t="str">
        <f t="shared" si="3"/>
        <v>N</v>
      </c>
      <c r="C74">
        <f t="shared" si="4"/>
        <v>11</v>
      </c>
      <c r="D74" t="str">
        <f t="shared" si="5"/>
        <v>2012W11</v>
      </c>
      <c r="E74" t="str">
        <f>VLOOKUP(D74,segédtábla!$A$2:$C$13,2)</f>
        <v>2012M03</v>
      </c>
      <c r="F74" t="str">
        <f>VLOOKUP(D74,segédtábla!$A$2:$C$13,3)</f>
        <v>2012Q1</v>
      </c>
    </row>
    <row r="75" spans="1:6" x14ac:dyDescent="0.3">
      <c r="A75" s="1">
        <v>40983</v>
      </c>
      <c r="B75" t="str">
        <f t="shared" si="3"/>
        <v>N</v>
      </c>
      <c r="C75">
        <f t="shared" si="4"/>
        <v>11</v>
      </c>
      <c r="D75" t="str">
        <f t="shared" si="5"/>
        <v>2012W11</v>
      </c>
      <c r="E75" t="str">
        <f>VLOOKUP(D75,segédtábla!$A$2:$C$13,2)</f>
        <v>2012M03</v>
      </c>
      <c r="F75" t="str">
        <f>VLOOKUP(D75,segédtábla!$A$2:$C$13,3)</f>
        <v>2012Q1</v>
      </c>
    </row>
    <row r="76" spans="1:6" x14ac:dyDescent="0.3">
      <c r="A76" s="1">
        <v>40984</v>
      </c>
      <c r="B76" t="str">
        <f t="shared" si="3"/>
        <v>N</v>
      </c>
      <c r="C76">
        <f t="shared" si="4"/>
        <v>11</v>
      </c>
      <c r="D76" t="str">
        <f t="shared" si="5"/>
        <v>2012W11</v>
      </c>
      <c r="E76" t="str">
        <f>VLOOKUP(D76,segédtábla!$A$2:$C$13,2)</f>
        <v>2012M03</v>
      </c>
      <c r="F76" t="str">
        <f>VLOOKUP(D76,segédtábla!$A$2:$C$13,3)</f>
        <v>2012Q1</v>
      </c>
    </row>
    <row r="77" spans="1:6" x14ac:dyDescent="0.3">
      <c r="A77" s="1">
        <v>40985</v>
      </c>
      <c r="B77" t="str">
        <f t="shared" si="3"/>
        <v>Y</v>
      </c>
      <c r="C77">
        <f t="shared" si="4"/>
        <v>11</v>
      </c>
      <c r="D77" t="str">
        <f t="shared" si="5"/>
        <v>2012W11</v>
      </c>
      <c r="E77" t="str">
        <f>VLOOKUP(D77,segédtábla!$A$2:$C$13,2)</f>
        <v>2012M03</v>
      </c>
      <c r="F77" t="str">
        <f>VLOOKUP(D77,segédtábla!$A$2:$C$13,3)</f>
        <v>2012Q1</v>
      </c>
    </row>
    <row r="78" spans="1:6" x14ac:dyDescent="0.3">
      <c r="A78" s="1">
        <v>40986</v>
      </c>
      <c r="B78" t="str">
        <f t="shared" si="3"/>
        <v>Y</v>
      </c>
      <c r="C78">
        <f t="shared" si="4"/>
        <v>11</v>
      </c>
      <c r="D78" t="str">
        <f t="shared" si="5"/>
        <v>2012W11</v>
      </c>
      <c r="E78" t="str">
        <f>VLOOKUP(D78,segédtábla!$A$2:$C$13,2)</f>
        <v>2012M03</v>
      </c>
      <c r="F78" t="str">
        <f>VLOOKUP(D78,segédtábla!$A$2:$C$13,3)</f>
        <v>2012Q1</v>
      </c>
    </row>
    <row r="79" spans="1:6" x14ac:dyDescent="0.3">
      <c r="A79" s="1">
        <v>40987</v>
      </c>
      <c r="B79" t="str">
        <f t="shared" si="3"/>
        <v>N</v>
      </c>
      <c r="C79">
        <f t="shared" si="4"/>
        <v>12</v>
      </c>
      <c r="D79" t="str">
        <f t="shared" si="5"/>
        <v>2012W12</v>
      </c>
      <c r="E79" t="str">
        <f>VLOOKUP(D79,segédtábla!$A$2:$C$13,2)</f>
        <v>2012M03</v>
      </c>
      <c r="F79" t="str">
        <f>VLOOKUP(D79,segédtábla!$A$2:$C$13,3)</f>
        <v>2012Q1</v>
      </c>
    </row>
    <row r="80" spans="1:6" x14ac:dyDescent="0.3">
      <c r="A80" s="1">
        <v>40988</v>
      </c>
      <c r="B80" t="str">
        <f t="shared" si="3"/>
        <v>N</v>
      </c>
      <c r="C80">
        <f t="shared" si="4"/>
        <v>12</v>
      </c>
      <c r="D80" t="str">
        <f t="shared" si="5"/>
        <v>2012W12</v>
      </c>
      <c r="E80" t="str">
        <f>VLOOKUP(D80,segédtábla!$A$2:$C$13,2)</f>
        <v>2012M03</v>
      </c>
      <c r="F80" t="str">
        <f>VLOOKUP(D80,segédtábla!$A$2:$C$13,3)</f>
        <v>2012Q1</v>
      </c>
    </row>
    <row r="81" spans="1:6" x14ac:dyDescent="0.3">
      <c r="A81" s="1">
        <v>40989</v>
      </c>
      <c r="B81" t="str">
        <f t="shared" si="3"/>
        <v>N</v>
      </c>
      <c r="C81">
        <f t="shared" si="4"/>
        <v>12</v>
      </c>
      <c r="D81" t="str">
        <f t="shared" si="5"/>
        <v>2012W12</v>
      </c>
      <c r="E81" t="str">
        <f>VLOOKUP(D81,segédtábla!$A$2:$C$13,2)</f>
        <v>2012M03</v>
      </c>
      <c r="F81" t="str">
        <f>VLOOKUP(D81,segédtábla!$A$2:$C$13,3)</f>
        <v>2012Q1</v>
      </c>
    </row>
    <row r="82" spans="1:6" x14ac:dyDescent="0.3">
      <c r="A82" s="1">
        <v>40990</v>
      </c>
      <c r="B82" t="str">
        <f t="shared" si="3"/>
        <v>N</v>
      </c>
      <c r="C82">
        <f t="shared" si="4"/>
        <v>12</v>
      </c>
      <c r="D82" t="str">
        <f t="shared" si="5"/>
        <v>2012W12</v>
      </c>
      <c r="E82" t="str">
        <f>VLOOKUP(D82,segédtábla!$A$2:$C$13,2)</f>
        <v>2012M03</v>
      </c>
      <c r="F82" t="str">
        <f>VLOOKUP(D82,segédtábla!$A$2:$C$13,3)</f>
        <v>2012Q1</v>
      </c>
    </row>
    <row r="83" spans="1:6" x14ac:dyDescent="0.3">
      <c r="A83" s="1">
        <v>40991</v>
      </c>
      <c r="B83" t="str">
        <f t="shared" si="3"/>
        <v>N</v>
      </c>
      <c r="C83">
        <f t="shared" si="4"/>
        <v>12</v>
      </c>
      <c r="D83" t="str">
        <f t="shared" si="5"/>
        <v>2012W12</v>
      </c>
      <c r="E83" t="str">
        <f>VLOOKUP(D83,segédtábla!$A$2:$C$13,2)</f>
        <v>2012M03</v>
      </c>
      <c r="F83" t="str">
        <f>VLOOKUP(D83,segédtábla!$A$2:$C$13,3)</f>
        <v>2012Q1</v>
      </c>
    </row>
    <row r="84" spans="1:6" x14ac:dyDescent="0.3">
      <c r="A84" s="1">
        <v>40992</v>
      </c>
      <c r="B84" t="str">
        <f t="shared" si="3"/>
        <v>Y</v>
      </c>
      <c r="C84">
        <f t="shared" si="4"/>
        <v>12</v>
      </c>
      <c r="D84" t="str">
        <f t="shared" si="5"/>
        <v>2012W12</v>
      </c>
      <c r="E84" t="str">
        <f>VLOOKUP(D84,segédtábla!$A$2:$C$13,2)</f>
        <v>2012M03</v>
      </c>
      <c r="F84" t="str">
        <f>VLOOKUP(D84,segédtábla!$A$2:$C$13,3)</f>
        <v>2012Q1</v>
      </c>
    </row>
    <row r="85" spans="1:6" x14ac:dyDescent="0.3">
      <c r="A85" s="1">
        <v>40993</v>
      </c>
      <c r="B85" t="str">
        <f t="shared" si="3"/>
        <v>Y</v>
      </c>
      <c r="C85">
        <f t="shared" si="4"/>
        <v>12</v>
      </c>
      <c r="D85" t="str">
        <f t="shared" si="5"/>
        <v>2012W12</v>
      </c>
      <c r="E85" t="str">
        <f>VLOOKUP(D85,segédtábla!$A$2:$C$13,2)</f>
        <v>2012M03</v>
      </c>
      <c r="F85" t="str">
        <f>VLOOKUP(D85,segédtábla!$A$2:$C$13,3)</f>
        <v>2012Q1</v>
      </c>
    </row>
    <row r="86" spans="1:6" x14ac:dyDescent="0.3">
      <c r="A86" s="1">
        <v>40994</v>
      </c>
      <c r="B86" t="str">
        <f t="shared" si="3"/>
        <v>N</v>
      </c>
      <c r="C86">
        <f t="shared" si="4"/>
        <v>13</v>
      </c>
      <c r="D86" t="str">
        <f t="shared" si="5"/>
        <v>2012W13</v>
      </c>
      <c r="E86" t="str">
        <f>VLOOKUP(D86,segédtábla!$A$2:$C$13,2)</f>
        <v>2012M03</v>
      </c>
      <c r="F86" t="str">
        <f>VLOOKUP(D86,segédtábla!$A$2:$C$13,3)</f>
        <v>2012Q1</v>
      </c>
    </row>
    <row r="87" spans="1:6" x14ac:dyDescent="0.3">
      <c r="A87" s="1">
        <v>40995</v>
      </c>
      <c r="B87" t="str">
        <f t="shared" si="3"/>
        <v>N</v>
      </c>
      <c r="C87">
        <f t="shared" si="4"/>
        <v>13</v>
      </c>
      <c r="D87" t="str">
        <f t="shared" si="5"/>
        <v>2012W13</v>
      </c>
      <c r="E87" t="str">
        <f>VLOOKUP(D87,segédtábla!$A$2:$C$13,2)</f>
        <v>2012M03</v>
      </c>
      <c r="F87" t="str">
        <f>VLOOKUP(D87,segédtábla!$A$2:$C$13,3)</f>
        <v>2012Q1</v>
      </c>
    </row>
    <row r="88" spans="1:6" x14ac:dyDescent="0.3">
      <c r="A88" s="1">
        <v>40996</v>
      </c>
      <c r="B88" t="str">
        <f t="shared" si="3"/>
        <v>N</v>
      </c>
      <c r="C88">
        <f t="shared" si="4"/>
        <v>13</v>
      </c>
      <c r="D88" t="str">
        <f t="shared" si="5"/>
        <v>2012W13</v>
      </c>
      <c r="E88" t="str">
        <f>VLOOKUP(D88,segédtábla!$A$2:$C$13,2)</f>
        <v>2012M03</v>
      </c>
      <c r="F88" t="str">
        <f>VLOOKUP(D88,segédtábla!$A$2:$C$13,3)</f>
        <v>2012Q1</v>
      </c>
    </row>
    <row r="89" spans="1:6" x14ac:dyDescent="0.3">
      <c r="A89" s="1">
        <v>40997</v>
      </c>
      <c r="B89" t="str">
        <f t="shared" si="3"/>
        <v>N</v>
      </c>
      <c r="C89">
        <f t="shared" si="4"/>
        <v>13</v>
      </c>
      <c r="D89" t="str">
        <f t="shared" si="5"/>
        <v>2012W13</v>
      </c>
      <c r="E89" t="str">
        <f>VLOOKUP(D89,segédtábla!$A$2:$C$13,2)</f>
        <v>2012M03</v>
      </c>
      <c r="F89" t="str">
        <f>VLOOKUP(D89,segédtábla!$A$2:$C$13,3)</f>
        <v>2012Q1</v>
      </c>
    </row>
    <row r="90" spans="1:6" x14ac:dyDescent="0.3">
      <c r="A90" s="1">
        <v>40998</v>
      </c>
      <c r="B90" t="str">
        <f t="shared" si="3"/>
        <v>N</v>
      </c>
      <c r="C90">
        <f t="shared" si="4"/>
        <v>13</v>
      </c>
      <c r="D90" t="str">
        <f t="shared" si="5"/>
        <v>2012W13</v>
      </c>
      <c r="E90" t="str">
        <f>VLOOKUP(D90,segédtábla!$A$2:$C$13,2)</f>
        <v>2012M03</v>
      </c>
      <c r="F90" t="str">
        <f>VLOOKUP(D90,segédtábla!$A$2:$C$13,3)</f>
        <v>2012Q1</v>
      </c>
    </row>
    <row r="91" spans="1:6" x14ac:dyDescent="0.3">
      <c r="A91" s="1">
        <v>40999</v>
      </c>
      <c r="B91" t="str">
        <f t="shared" si="3"/>
        <v>Y</v>
      </c>
      <c r="C91">
        <f t="shared" si="4"/>
        <v>13</v>
      </c>
      <c r="D91" t="str">
        <f t="shared" si="5"/>
        <v>2012W13</v>
      </c>
      <c r="E91" t="str">
        <f>VLOOKUP(D91,segédtábla!$A$2:$C$13,2)</f>
        <v>2012M03</v>
      </c>
      <c r="F91" t="str">
        <f>VLOOKUP(D91,segédtábla!$A$2:$C$13,3)</f>
        <v>2012Q1</v>
      </c>
    </row>
    <row r="92" spans="1:6" x14ac:dyDescent="0.3">
      <c r="A92" s="1">
        <v>41000</v>
      </c>
      <c r="B92" t="str">
        <f t="shared" si="3"/>
        <v>Y</v>
      </c>
      <c r="C92">
        <f t="shared" si="4"/>
        <v>13</v>
      </c>
      <c r="D92" t="str">
        <f t="shared" si="5"/>
        <v>2012W13</v>
      </c>
      <c r="E92" t="str">
        <f>VLOOKUP(D92,segédtábla!$A$2:$C$13,2)</f>
        <v>2012M03</v>
      </c>
      <c r="F92" t="str">
        <f>VLOOKUP(D92,segédtábla!$A$2:$C$13,3)</f>
        <v>2012Q1</v>
      </c>
    </row>
    <row r="93" spans="1:6" x14ac:dyDescent="0.3">
      <c r="A93" s="1">
        <v>41001</v>
      </c>
      <c r="B93" t="str">
        <f t="shared" si="3"/>
        <v>N</v>
      </c>
      <c r="C93">
        <f t="shared" si="4"/>
        <v>14</v>
      </c>
      <c r="D93" t="str">
        <f t="shared" si="5"/>
        <v>2012W14</v>
      </c>
      <c r="E93" t="str">
        <f>VLOOKUP(D93,segédtábla!$A$2:$C$13,2)</f>
        <v>2012M04</v>
      </c>
      <c r="F93" t="str">
        <f>VLOOKUP(D93,segédtábla!$A$2:$C$13,3)</f>
        <v>2012Q2</v>
      </c>
    </row>
    <row r="94" spans="1:6" x14ac:dyDescent="0.3">
      <c r="A94" s="1">
        <v>41002</v>
      </c>
      <c r="B94" t="str">
        <f t="shared" si="3"/>
        <v>N</v>
      </c>
      <c r="C94">
        <f t="shared" si="4"/>
        <v>14</v>
      </c>
      <c r="D94" t="str">
        <f t="shared" si="5"/>
        <v>2012W14</v>
      </c>
      <c r="E94" t="str">
        <f>VLOOKUP(D94,segédtábla!$A$2:$C$13,2)</f>
        <v>2012M04</v>
      </c>
      <c r="F94" t="str">
        <f>VLOOKUP(D94,segédtábla!$A$2:$C$13,3)</f>
        <v>2012Q2</v>
      </c>
    </row>
    <row r="95" spans="1:6" x14ac:dyDescent="0.3">
      <c r="A95" s="1">
        <v>41003</v>
      </c>
      <c r="B95" t="str">
        <f t="shared" si="3"/>
        <v>N</v>
      </c>
      <c r="C95">
        <f t="shared" si="4"/>
        <v>14</v>
      </c>
      <c r="D95" t="str">
        <f t="shared" si="5"/>
        <v>2012W14</v>
      </c>
      <c r="E95" t="str">
        <f>VLOOKUP(D95,segédtábla!$A$2:$C$13,2)</f>
        <v>2012M04</v>
      </c>
      <c r="F95" t="str">
        <f>VLOOKUP(D95,segédtábla!$A$2:$C$13,3)</f>
        <v>2012Q2</v>
      </c>
    </row>
    <row r="96" spans="1:6" x14ac:dyDescent="0.3">
      <c r="A96" s="1">
        <v>41004</v>
      </c>
      <c r="B96" t="str">
        <f t="shared" si="3"/>
        <v>N</v>
      </c>
      <c r="C96">
        <f t="shared" si="4"/>
        <v>14</v>
      </c>
      <c r="D96" t="str">
        <f t="shared" si="5"/>
        <v>2012W14</v>
      </c>
      <c r="E96" t="str">
        <f>VLOOKUP(D96,segédtábla!$A$2:$C$13,2)</f>
        <v>2012M04</v>
      </c>
      <c r="F96" t="str">
        <f>VLOOKUP(D96,segédtábla!$A$2:$C$13,3)</f>
        <v>2012Q2</v>
      </c>
    </row>
    <row r="97" spans="1:6" x14ac:dyDescent="0.3">
      <c r="A97" s="1">
        <v>41005</v>
      </c>
      <c r="B97" t="str">
        <f t="shared" si="3"/>
        <v>N</v>
      </c>
      <c r="C97">
        <f t="shared" si="4"/>
        <v>14</v>
      </c>
      <c r="D97" t="str">
        <f t="shared" si="5"/>
        <v>2012W14</v>
      </c>
      <c r="E97" t="str">
        <f>VLOOKUP(D97,segédtábla!$A$2:$C$13,2)</f>
        <v>2012M04</v>
      </c>
      <c r="F97" t="str">
        <f>VLOOKUP(D97,segédtábla!$A$2:$C$13,3)</f>
        <v>2012Q2</v>
      </c>
    </row>
    <row r="98" spans="1:6" x14ac:dyDescent="0.3">
      <c r="A98" s="1">
        <v>41006</v>
      </c>
      <c r="B98" t="str">
        <f t="shared" si="3"/>
        <v>Y</v>
      </c>
      <c r="C98">
        <f t="shared" si="4"/>
        <v>14</v>
      </c>
      <c r="D98" t="str">
        <f t="shared" si="5"/>
        <v>2012W14</v>
      </c>
      <c r="E98" t="str">
        <f>VLOOKUP(D98,segédtábla!$A$2:$C$13,2)</f>
        <v>2012M04</v>
      </c>
      <c r="F98" t="str">
        <f>VLOOKUP(D98,segédtábla!$A$2:$C$13,3)</f>
        <v>2012Q2</v>
      </c>
    </row>
    <row r="99" spans="1:6" x14ac:dyDescent="0.3">
      <c r="A99" s="1">
        <v>41007</v>
      </c>
      <c r="B99" t="str">
        <f t="shared" si="3"/>
        <v>Y</v>
      </c>
      <c r="C99">
        <f t="shared" si="4"/>
        <v>14</v>
      </c>
      <c r="D99" t="str">
        <f t="shared" si="5"/>
        <v>2012W14</v>
      </c>
      <c r="E99" t="str">
        <f>VLOOKUP(D99,segédtábla!$A$2:$C$13,2)</f>
        <v>2012M04</v>
      </c>
      <c r="F99" t="str">
        <f>VLOOKUP(D99,segédtábla!$A$2:$C$13,3)</f>
        <v>2012Q2</v>
      </c>
    </row>
    <row r="100" spans="1:6" x14ac:dyDescent="0.3">
      <c r="A100" s="1">
        <v>41008</v>
      </c>
      <c r="B100" t="str">
        <f t="shared" si="3"/>
        <v>N</v>
      </c>
      <c r="C100">
        <f t="shared" si="4"/>
        <v>15</v>
      </c>
      <c r="D100" t="str">
        <f t="shared" si="5"/>
        <v>2012W15</v>
      </c>
      <c r="E100" t="str">
        <f>VLOOKUP(D100,segédtábla!$A$2:$C$13,2)</f>
        <v>2012M04</v>
      </c>
      <c r="F100" t="str">
        <f>VLOOKUP(D100,segédtábla!$A$2:$C$13,3)</f>
        <v>2012Q2</v>
      </c>
    </row>
    <row r="101" spans="1:6" x14ac:dyDescent="0.3">
      <c r="A101" s="1">
        <v>41009</v>
      </c>
      <c r="B101" t="str">
        <f t="shared" si="3"/>
        <v>N</v>
      </c>
      <c r="C101">
        <f t="shared" si="4"/>
        <v>15</v>
      </c>
      <c r="D101" t="str">
        <f t="shared" si="5"/>
        <v>2012W15</v>
      </c>
      <c r="E101" t="str">
        <f>VLOOKUP(D101,segédtábla!$A$2:$C$13,2)</f>
        <v>2012M04</v>
      </c>
      <c r="F101" t="str">
        <f>VLOOKUP(D101,segédtábla!$A$2:$C$13,3)</f>
        <v>2012Q2</v>
      </c>
    </row>
    <row r="102" spans="1:6" x14ac:dyDescent="0.3">
      <c r="A102" s="1">
        <v>41010</v>
      </c>
      <c r="B102" t="str">
        <f t="shared" si="3"/>
        <v>N</v>
      </c>
      <c r="C102">
        <f t="shared" si="4"/>
        <v>15</v>
      </c>
      <c r="D102" t="str">
        <f t="shared" si="5"/>
        <v>2012W15</v>
      </c>
      <c r="E102" t="str">
        <f>VLOOKUP(D102,segédtábla!$A$2:$C$13,2)</f>
        <v>2012M04</v>
      </c>
      <c r="F102" t="str">
        <f>VLOOKUP(D102,segédtábla!$A$2:$C$13,3)</f>
        <v>2012Q2</v>
      </c>
    </row>
    <row r="103" spans="1:6" x14ac:dyDescent="0.3">
      <c r="A103" s="1">
        <v>41011</v>
      </c>
      <c r="B103" t="str">
        <f t="shared" si="3"/>
        <v>N</v>
      </c>
      <c r="C103">
        <f t="shared" si="4"/>
        <v>15</v>
      </c>
      <c r="D103" t="str">
        <f t="shared" si="5"/>
        <v>2012W15</v>
      </c>
      <c r="E103" t="str">
        <f>VLOOKUP(D103,segédtábla!$A$2:$C$13,2)</f>
        <v>2012M04</v>
      </c>
      <c r="F103" t="str">
        <f>VLOOKUP(D103,segédtábla!$A$2:$C$13,3)</f>
        <v>2012Q2</v>
      </c>
    </row>
    <row r="104" spans="1:6" x14ac:dyDescent="0.3">
      <c r="A104" s="1">
        <v>41012</v>
      </c>
      <c r="B104" t="str">
        <f t="shared" si="3"/>
        <v>N</v>
      </c>
      <c r="C104">
        <f t="shared" si="4"/>
        <v>15</v>
      </c>
      <c r="D104" t="str">
        <f t="shared" si="5"/>
        <v>2012W15</v>
      </c>
      <c r="E104" t="str">
        <f>VLOOKUP(D104,segédtábla!$A$2:$C$13,2)</f>
        <v>2012M04</v>
      </c>
      <c r="F104" t="str">
        <f>VLOOKUP(D104,segédtábla!$A$2:$C$13,3)</f>
        <v>2012Q2</v>
      </c>
    </row>
    <row r="105" spans="1:6" x14ac:dyDescent="0.3">
      <c r="A105" s="1">
        <v>41013</v>
      </c>
      <c r="B105" t="str">
        <f t="shared" si="3"/>
        <v>Y</v>
      </c>
      <c r="C105">
        <f t="shared" si="4"/>
        <v>15</v>
      </c>
      <c r="D105" t="str">
        <f t="shared" si="5"/>
        <v>2012W15</v>
      </c>
      <c r="E105" t="str">
        <f>VLOOKUP(D105,segédtábla!$A$2:$C$13,2)</f>
        <v>2012M04</v>
      </c>
      <c r="F105" t="str">
        <f>VLOOKUP(D105,segédtábla!$A$2:$C$13,3)</f>
        <v>2012Q2</v>
      </c>
    </row>
    <row r="106" spans="1:6" x14ac:dyDescent="0.3">
      <c r="A106" s="1">
        <v>41014</v>
      </c>
      <c r="B106" t="str">
        <f t="shared" si="3"/>
        <v>Y</v>
      </c>
      <c r="C106">
        <f t="shared" si="4"/>
        <v>15</v>
      </c>
      <c r="D106" t="str">
        <f t="shared" si="5"/>
        <v>2012W15</v>
      </c>
      <c r="E106" t="str">
        <f>VLOOKUP(D106,segédtábla!$A$2:$C$13,2)</f>
        <v>2012M04</v>
      </c>
      <c r="F106" t="str">
        <f>VLOOKUP(D106,segédtábla!$A$2:$C$13,3)</f>
        <v>2012Q2</v>
      </c>
    </row>
    <row r="107" spans="1:6" x14ac:dyDescent="0.3">
      <c r="A107" s="1">
        <v>41015</v>
      </c>
      <c r="B107" t="str">
        <f t="shared" si="3"/>
        <v>N</v>
      </c>
      <c r="C107">
        <f t="shared" si="4"/>
        <v>16</v>
      </c>
      <c r="D107" t="str">
        <f t="shared" si="5"/>
        <v>2012W16</v>
      </c>
      <c r="E107" t="str">
        <f>VLOOKUP(D107,segédtábla!$A$2:$C$13,2)</f>
        <v>2012M04</v>
      </c>
      <c r="F107" t="str">
        <f>VLOOKUP(D107,segédtábla!$A$2:$C$13,3)</f>
        <v>2012Q2</v>
      </c>
    </row>
    <row r="108" spans="1:6" x14ac:dyDescent="0.3">
      <c r="A108" s="1">
        <v>41016</v>
      </c>
      <c r="B108" t="str">
        <f t="shared" si="3"/>
        <v>N</v>
      </c>
      <c r="C108">
        <f t="shared" si="4"/>
        <v>16</v>
      </c>
      <c r="D108" t="str">
        <f t="shared" si="5"/>
        <v>2012W16</v>
      </c>
      <c r="E108" t="str">
        <f>VLOOKUP(D108,segédtábla!$A$2:$C$13,2)</f>
        <v>2012M04</v>
      </c>
      <c r="F108" t="str">
        <f>VLOOKUP(D108,segédtábla!$A$2:$C$13,3)</f>
        <v>2012Q2</v>
      </c>
    </row>
    <row r="109" spans="1:6" x14ac:dyDescent="0.3">
      <c r="A109" s="1">
        <v>41017</v>
      </c>
      <c r="B109" t="str">
        <f t="shared" si="3"/>
        <v>N</v>
      </c>
      <c r="C109">
        <f t="shared" si="4"/>
        <v>16</v>
      </c>
      <c r="D109" t="str">
        <f t="shared" si="5"/>
        <v>2012W16</v>
      </c>
      <c r="E109" t="str">
        <f>VLOOKUP(D109,segédtábla!$A$2:$C$13,2)</f>
        <v>2012M04</v>
      </c>
      <c r="F109" t="str">
        <f>VLOOKUP(D109,segédtábla!$A$2:$C$13,3)</f>
        <v>2012Q2</v>
      </c>
    </row>
    <row r="110" spans="1:6" x14ac:dyDescent="0.3">
      <c r="A110" s="1">
        <v>41018</v>
      </c>
      <c r="B110" t="str">
        <f t="shared" si="3"/>
        <v>N</v>
      </c>
      <c r="C110">
        <f t="shared" si="4"/>
        <v>16</v>
      </c>
      <c r="D110" t="str">
        <f t="shared" si="5"/>
        <v>2012W16</v>
      </c>
      <c r="E110" t="str">
        <f>VLOOKUP(D110,segédtábla!$A$2:$C$13,2)</f>
        <v>2012M04</v>
      </c>
      <c r="F110" t="str">
        <f>VLOOKUP(D110,segédtábla!$A$2:$C$13,3)</f>
        <v>2012Q2</v>
      </c>
    </row>
    <row r="111" spans="1:6" x14ac:dyDescent="0.3">
      <c r="A111" s="1">
        <v>41019</v>
      </c>
      <c r="B111" t="str">
        <f t="shared" si="3"/>
        <v>N</v>
      </c>
      <c r="C111">
        <f t="shared" si="4"/>
        <v>16</v>
      </c>
      <c r="D111" t="str">
        <f t="shared" si="5"/>
        <v>2012W16</v>
      </c>
      <c r="E111" t="str">
        <f>VLOOKUP(D111,segédtábla!$A$2:$C$13,2)</f>
        <v>2012M04</v>
      </c>
      <c r="F111" t="str">
        <f>VLOOKUP(D111,segédtábla!$A$2:$C$13,3)</f>
        <v>2012Q2</v>
      </c>
    </row>
    <row r="112" spans="1:6" x14ac:dyDescent="0.3">
      <c r="A112" s="1">
        <v>41020</v>
      </c>
      <c r="B112" t="str">
        <f t="shared" si="3"/>
        <v>Y</v>
      </c>
      <c r="C112">
        <f t="shared" si="4"/>
        <v>16</v>
      </c>
      <c r="D112" t="str">
        <f t="shared" si="5"/>
        <v>2012W16</v>
      </c>
      <c r="E112" t="str">
        <f>VLOOKUP(D112,segédtábla!$A$2:$C$13,2)</f>
        <v>2012M04</v>
      </c>
      <c r="F112" t="str">
        <f>VLOOKUP(D112,segédtábla!$A$2:$C$13,3)</f>
        <v>2012Q2</v>
      </c>
    </row>
    <row r="113" spans="1:6" x14ac:dyDescent="0.3">
      <c r="A113" s="1">
        <v>41021</v>
      </c>
      <c r="B113" t="str">
        <f t="shared" si="3"/>
        <v>Y</v>
      </c>
      <c r="C113">
        <f t="shared" si="4"/>
        <v>16</v>
      </c>
      <c r="D113" t="str">
        <f t="shared" si="5"/>
        <v>2012W16</v>
      </c>
      <c r="E113" t="str">
        <f>VLOOKUP(D113,segédtábla!$A$2:$C$13,2)</f>
        <v>2012M04</v>
      </c>
      <c r="F113" t="str">
        <f>VLOOKUP(D113,segédtábla!$A$2:$C$13,3)</f>
        <v>2012Q2</v>
      </c>
    </row>
    <row r="114" spans="1:6" x14ac:dyDescent="0.3">
      <c r="A114" s="1">
        <v>41022</v>
      </c>
      <c r="B114" t="str">
        <f t="shared" si="3"/>
        <v>N</v>
      </c>
      <c r="C114">
        <f t="shared" si="4"/>
        <v>17</v>
      </c>
      <c r="D114" t="str">
        <f t="shared" si="5"/>
        <v>2012W17</v>
      </c>
      <c r="E114" t="str">
        <f>VLOOKUP(D114,segédtábla!$A$2:$C$13,2)</f>
        <v>2012M04</v>
      </c>
      <c r="F114" t="str">
        <f>VLOOKUP(D114,segédtábla!$A$2:$C$13,3)</f>
        <v>2012Q2</v>
      </c>
    </row>
    <row r="115" spans="1:6" x14ac:dyDescent="0.3">
      <c r="A115" s="1">
        <v>41023</v>
      </c>
      <c r="B115" t="str">
        <f t="shared" si="3"/>
        <v>N</v>
      </c>
      <c r="C115">
        <f t="shared" si="4"/>
        <v>17</v>
      </c>
      <c r="D115" t="str">
        <f t="shared" si="5"/>
        <v>2012W17</v>
      </c>
      <c r="E115" t="str">
        <f>VLOOKUP(D115,segédtábla!$A$2:$C$13,2)</f>
        <v>2012M04</v>
      </c>
      <c r="F115" t="str">
        <f>VLOOKUP(D115,segédtábla!$A$2:$C$13,3)</f>
        <v>2012Q2</v>
      </c>
    </row>
    <row r="116" spans="1:6" x14ac:dyDescent="0.3">
      <c r="A116" s="1">
        <v>41024</v>
      </c>
      <c r="B116" t="str">
        <f t="shared" si="3"/>
        <v>N</v>
      </c>
      <c r="C116">
        <f t="shared" si="4"/>
        <v>17</v>
      </c>
      <c r="D116" t="str">
        <f t="shared" si="5"/>
        <v>2012W17</v>
      </c>
      <c r="E116" t="str">
        <f>VLOOKUP(D116,segédtábla!$A$2:$C$13,2)</f>
        <v>2012M04</v>
      </c>
      <c r="F116" t="str">
        <f>VLOOKUP(D116,segédtábla!$A$2:$C$13,3)</f>
        <v>2012Q2</v>
      </c>
    </row>
    <row r="117" spans="1:6" x14ac:dyDescent="0.3">
      <c r="A117" s="1">
        <v>41025</v>
      </c>
      <c r="B117" t="str">
        <f t="shared" si="3"/>
        <v>N</v>
      </c>
      <c r="C117">
        <f t="shared" si="4"/>
        <v>17</v>
      </c>
      <c r="D117" t="str">
        <f t="shared" si="5"/>
        <v>2012W17</v>
      </c>
      <c r="E117" t="str">
        <f>VLOOKUP(D117,segédtábla!$A$2:$C$13,2)</f>
        <v>2012M04</v>
      </c>
      <c r="F117" t="str">
        <f>VLOOKUP(D117,segédtábla!$A$2:$C$13,3)</f>
        <v>2012Q2</v>
      </c>
    </row>
    <row r="118" spans="1:6" x14ac:dyDescent="0.3">
      <c r="A118" s="1">
        <v>41026</v>
      </c>
      <c r="B118" t="str">
        <f t="shared" si="3"/>
        <v>N</v>
      </c>
      <c r="C118">
        <f t="shared" si="4"/>
        <v>17</v>
      </c>
      <c r="D118" t="str">
        <f t="shared" si="5"/>
        <v>2012W17</v>
      </c>
      <c r="E118" t="str">
        <f>VLOOKUP(D118,segédtábla!$A$2:$C$13,2)</f>
        <v>2012M04</v>
      </c>
      <c r="F118" t="str">
        <f>VLOOKUP(D118,segédtábla!$A$2:$C$13,3)</f>
        <v>2012Q2</v>
      </c>
    </row>
    <row r="119" spans="1:6" x14ac:dyDescent="0.3">
      <c r="A119" s="1">
        <v>41027</v>
      </c>
      <c r="B119" t="str">
        <f t="shared" si="3"/>
        <v>Y</v>
      </c>
      <c r="C119">
        <f t="shared" si="4"/>
        <v>17</v>
      </c>
      <c r="D119" t="str">
        <f t="shared" si="5"/>
        <v>2012W17</v>
      </c>
      <c r="E119" t="str">
        <f>VLOOKUP(D119,segédtábla!$A$2:$C$13,2)</f>
        <v>2012M04</v>
      </c>
      <c r="F119" t="str">
        <f>VLOOKUP(D119,segédtábla!$A$2:$C$13,3)</f>
        <v>2012Q2</v>
      </c>
    </row>
    <row r="120" spans="1:6" x14ac:dyDescent="0.3">
      <c r="A120" s="1">
        <v>41028</v>
      </c>
      <c r="B120" t="str">
        <f t="shared" si="3"/>
        <v>Y</v>
      </c>
      <c r="C120">
        <f t="shared" si="4"/>
        <v>17</v>
      </c>
      <c r="D120" t="str">
        <f t="shared" si="5"/>
        <v>2012W17</v>
      </c>
      <c r="E120" t="str">
        <f>VLOOKUP(D120,segédtábla!$A$2:$C$13,2)</f>
        <v>2012M04</v>
      </c>
      <c r="F120" t="str">
        <f>VLOOKUP(D120,segédtábla!$A$2:$C$13,3)</f>
        <v>2012Q2</v>
      </c>
    </row>
    <row r="121" spans="1:6" x14ac:dyDescent="0.3">
      <c r="A121" s="1">
        <v>41029</v>
      </c>
      <c r="B121" t="str">
        <f t="shared" si="3"/>
        <v>N</v>
      </c>
      <c r="C121">
        <f t="shared" si="4"/>
        <v>18</v>
      </c>
      <c r="D121" t="str">
        <f t="shared" si="5"/>
        <v>2012W18</v>
      </c>
      <c r="E121" t="str">
        <f>VLOOKUP(D121,segédtábla!$A$2:$C$13,2)</f>
        <v>2012M05</v>
      </c>
      <c r="F121" t="str">
        <f>VLOOKUP(D121,segédtábla!$A$2:$C$13,3)</f>
        <v>2012Q2</v>
      </c>
    </row>
    <row r="122" spans="1:6" x14ac:dyDescent="0.3">
      <c r="A122" s="1">
        <v>41030</v>
      </c>
      <c r="B122" t="str">
        <f t="shared" si="3"/>
        <v>N</v>
      </c>
      <c r="C122">
        <f t="shared" si="4"/>
        <v>18</v>
      </c>
      <c r="D122" t="str">
        <f t="shared" si="5"/>
        <v>2012W18</v>
      </c>
      <c r="E122" t="str">
        <f>VLOOKUP(D122,segédtábla!$A$2:$C$13,2)</f>
        <v>2012M05</v>
      </c>
      <c r="F122" t="str">
        <f>VLOOKUP(D122,segédtábla!$A$2:$C$13,3)</f>
        <v>2012Q2</v>
      </c>
    </row>
    <row r="123" spans="1:6" x14ac:dyDescent="0.3">
      <c r="A123" s="1">
        <v>41031</v>
      </c>
      <c r="B123" t="str">
        <f t="shared" si="3"/>
        <v>N</v>
      </c>
      <c r="C123">
        <f t="shared" si="4"/>
        <v>18</v>
      </c>
      <c r="D123" t="str">
        <f t="shared" si="5"/>
        <v>2012W18</v>
      </c>
      <c r="E123" t="str">
        <f>VLOOKUP(D123,segédtábla!$A$2:$C$13,2)</f>
        <v>2012M05</v>
      </c>
      <c r="F123" t="str">
        <f>VLOOKUP(D123,segédtábla!$A$2:$C$13,3)</f>
        <v>2012Q2</v>
      </c>
    </row>
    <row r="124" spans="1:6" x14ac:dyDescent="0.3">
      <c r="A124" s="1">
        <v>41032</v>
      </c>
      <c r="B124" t="str">
        <f t="shared" si="3"/>
        <v>N</v>
      </c>
      <c r="C124">
        <f t="shared" si="4"/>
        <v>18</v>
      </c>
      <c r="D124" t="str">
        <f t="shared" si="5"/>
        <v>2012W18</v>
      </c>
      <c r="E124" t="str">
        <f>VLOOKUP(D124,segédtábla!$A$2:$C$13,2)</f>
        <v>2012M05</v>
      </c>
      <c r="F124" t="str">
        <f>VLOOKUP(D124,segédtábla!$A$2:$C$13,3)</f>
        <v>2012Q2</v>
      </c>
    </row>
    <row r="125" spans="1:6" x14ac:dyDescent="0.3">
      <c r="A125" s="1">
        <v>41033</v>
      </c>
      <c r="B125" t="str">
        <f t="shared" si="3"/>
        <v>N</v>
      </c>
      <c r="C125">
        <f t="shared" si="4"/>
        <v>18</v>
      </c>
      <c r="D125" t="str">
        <f t="shared" si="5"/>
        <v>2012W18</v>
      </c>
      <c r="E125" t="str">
        <f>VLOOKUP(D125,segédtábla!$A$2:$C$13,2)</f>
        <v>2012M05</v>
      </c>
      <c r="F125" t="str">
        <f>VLOOKUP(D125,segédtábla!$A$2:$C$13,3)</f>
        <v>2012Q2</v>
      </c>
    </row>
    <row r="126" spans="1:6" x14ac:dyDescent="0.3">
      <c r="A126" s="1">
        <v>41034</v>
      </c>
      <c r="B126" t="str">
        <f t="shared" si="3"/>
        <v>Y</v>
      </c>
      <c r="C126">
        <f t="shared" si="4"/>
        <v>18</v>
      </c>
      <c r="D126" t="str">
        <f t="shared" si="5"/>
        <v>2012W18</v>
      </c>
      <c r="E126" t="str">
        <f>VLOOKUP(D126,segédtábla!$A$2:$C$13,2)</f>
        <v>2012M05</v>
      </c>
      <c r="F126" t="str">
        <f>VLOOKUP(D126,segédtábla!$A$2:$C$13,3)</f>
        <v>2012Q2</v>
      </c>
    </row>
    <row r="127" spans="1:6" x14ac:dyDescent="0.3">
      <c r="A127" s="1">
        <v>41035</v>
      </c>
      <c r="B127" t="str">
        <f t="shared" si="3"/>
        <v>Y</v>
      </c>
      <c r="C127">
        <f t="shared" si="4"/>
        <v>18</v>
      </c>
      <c r="D127" t="str">
        <f t="shared" si="5"/>
        <v>2012W18</v>
      </c>
      <c r="E127" t="str">
        <f>VLOOKUP(D127,segédtábla!$A$2:$C$13,2)</f>
        <v>2012M05</v>
      </c>
      <c r="F127" t="str">
        <f>VLOOKUP(D127,segédtábla!$A$2:$C$13,3)</f>
        <v>2012Q2</v>
      </c>
    </row>
    <row r="128" spans="1:6" x14ac:dyDescent="0.3">
      <c r="A128" s="1">
        <v>41036</v>
      </c>
      <c r="B128" t="str">
        <f t="shared" si="3"/>
        <v>N</v>
      </c>
      <c r="C128">
        <f t="shared" si="4"/>
        <v>19</v>
      </c>
      <c r="D128" t="str">
        <f t="shared" si="5"/>
        <v>2012W19</v>
      </c>
      <c r="E128" t="str">
        <f>VLOOKUP(D128,segédtábla!$A$2:$C$13,2)</f>
        <v>2012M05</v>
      </c>
      <c r="F128" t="str">
        <f>VLOOKUP(D128,segédtábla!$A$2:$C$13,3)</f>
        <v>2012Q2</v>
      </c>
    </row>
    <row r="129" spans="1:6" x14ac:dyDescent="0.3">
      <c r="A129" s="1">
        <v>41037</v>
      </c>
      <c r="B129" t="str">
        <f t="shared" si="3"/>
        <v>N</v>
      </c>
      <c r="C129">
        <f t="shared" si="4"/>
        <v>19</v>
      </c>
      <c r="D129" t="str">
        <f t="shared" si="5"/>
        <v>2012W19</v>
      </c>
      <c r="E129" t="str">
        <f>VLOOKUP(D129,segédtábla!$A$2:$C$13,2)</f>
        <v>2012M05</v>
      </c>
      <c r="F129" t="str">
        <f>VLOOKUP(D129,segédtábla!$A$2:$C$13,3)</f>
        <v>2012Q2</v>
      </c>
    </row>
    <row r="130" spans="1:6" x14ac:dyDescent="0.3">
      <c r="A130" s="1">
        <v>41038</v>
      </c>
      <c r="B130" t="str">
        <f t="shared" si="3"/>
        <v>N</v>
      </c>
      <c r="C130">
        <f t="shared" si="4"/>
        <v>19</v>
      </c>
      <c r="D130" t="str">
        <f t="shared" si="5"/>
        <v>2012W19</v>
      </c>
      <c r="E130" t="str">
        <f>VLOOKUP(D130,segédtábla!$A$2:$C$13,2)</f>
        <v>2012M05</v>
      </c>
      <c r="F130" t="str">
        <f>VLOOKUP(D130,segédtábla!$A$2:$C$13,3)</f>
        <v>2012Q2</v>
      </c>
    </row>
    <row r="131" spans="1:6" x14ac:dyDescent="0.3">
      <c r="A131" s="1">
        <v>41039</v>
      </c>
      <c r="B131" t="str">
        <f t="shared" ref="B131:B194" si="6">IF(WEEKDAY(A131,2)&gt;5,"Y","N")</f>
        <v>N</v>
      </c>
      <c r="C131">
        <f t="shared" ref="C131:C194" si="7">_xlfn.ISOWEEKNUM(A131)</f>
        <v>19</v>
      </c>
      <c r="D131" t="str">
        <f t="shared" ref="D131:D194" si="8">YEAR(A131)&amp;"W"&amp;IF(C131&lt;10,0&amp;C131,C131)</f>
        <v>2012W19</v>
      </c>
      <c r="E131" t="str">
        <f>VLOOKUP(D131,segédtábla!$A$2:$C$13,2)</f>
        <v>2012M05</v>
      </c>
      <c r="F131" t="str">
        <f>VLOOKUP(D131,segédtábla!$A$2:$C$13,3)</f>
        <v>2012Q2</v>
      </c>
    </row>
    <row r="132" spans="1:6" x14ac:dyDescent="0.3">
      <c r="A132" s="1">
        <v>41040</v>
      </c>
      <c r="B132" t="str">
        <f t="shared" si="6"/>
        <v>N</v>
      </c>
      <c r="C132">
        <f t="shared" si="7"/>
        <v>19</v>
      </c>
      <c r="D132" t="str">
        <f t="shared" si="8"/>
        <v>2012W19</v>
      </c>
      <c r="E132" t="str">
        <f>VLOOKUP(D132,segédtábla!$A$2:$C$13,2)</f>
        <v>2012M05</v>
      </c>
      <c r="F132" t="str">
        <f>VLOOKUP(D132,segédtábla!$A$2:$C$13,3)</f>
        <v>2012Q2</v>
      </c>
    </row>
    <row r="133" spans="1:6" x14ac:dyDescent="0.3">
      <c r="A133" s="1">
        <v>41041</v>
      </c>
      <c r="B133" t="str">
        <f t="shared" si="6"/>
        <v>Y</v>
      </c>
      <c r="C133">
        <f t="shared" si="7"/>
        <v>19</v>
      </c>
      <c r="D133" t="str">
        <f t="shared" si="8"/>
        <v>2012W19</v>
      </c>
      <c r="E133" t="str">
        <f>VLOOKUP(D133,segédtábla!$A$2:$C$13,2)</f>
        <v>2012M05</v>
      </c>
      <c r="F133" t="str">
        <f>VLOOKUP(D133,segédtábla!$A$2:$C$13,3)</f>
        <v>2012Q2</v>
      </c>
    </row>
    <row r="134" spans="1:6" x14ac:dyDescent="0.3">
      <c r="A134" s="1">
        <v>41042</v>
      </c>
      <c r="B134" t="str">
        <f t="shared" si="6"/>
        <v>Y</v>
      </c>
      <c r="C134">
        <f t="shared" si="7"/>
        <v>19</v>
      </c>
      <c r="D134" t="str">
        <f t="shared" si="8"/>
        <v>2012W19</v>
      </c>
      <c r="E134" t="str">
        <f>VLOOKUP(D134,segédtábla!$A$2:$C$13,2)</f>
        <v>2012M05</v>
      </c>
      <c r="F134" t="str">
        <f>VLOOKUP(D134,segédtábla!$A$2:$C$13,3)</f>
        <v>2012Q2</v>
      </c>
    </row>
    <row r="135" spans="1:6" x14ac:dyDescent="0.3">
      <c r="A135" s="1">
        <v>41043</v>
      </c>
      <c r="B135" t="str">
        <f t="shared" si="6"/>
        <v>N</v>
      </c>
      <c r="C135">
        <f t="shared" si="7"/>
        <v>20</v>
      </c>
      <c r="D135" t="str">
        <f t="shared" si="8"/>
        <v>2012W20</v>
      </c>
      <c r="E135" t="str">
        <f>VLOOKUP(D135,segédtábla!$A$2:$C$13,2)</f>
        <v>2012M05</v>
      </c>
      <c r="F135" t="str">
        <f>VLOOKUP(D135,segédtábla!$A$2:$C$13,3)</f>
        <v>2012Q2</v>
      </c>
    </row>
    <row r="136" spans="1:6" x14ac:dyDescent="0.3">
      <c r="A136" s="1">
        <v>41044</v>
      </c>
      <c r="B136" t="str">
        <f t="shared" si="6"/>
        <v>N</v>
      </c>
      <c r="C136">
        <f t="shared" si="7"/>
        <v>20</v>
      </c>
      <c r="D136" t="str">
        <f t="shared" si="8"/>
        <v>2012W20</v>
      </c>
      <c r="E136" t="str">
        <f>VLOOKUP(D136,segédtábla!$A$2:$C$13,2)</f>
        <v>2012M05</v>
      </c>
      <c r="F136" t="str">
        <f>VLOOKUP(D136,segédtábla!$A$2:$C$13,3)</f>
        <v>2012Q2</v>
      </c>
    </row>
    <row r="137" spans="1:6" x14ac:dyDescent="0.3">
      <c r="A137" s="1">
        <v>41045</v>
      </c>
      <c r="B137" t="str">
        <f t="shared" si="6"/>
        <v>N</v>
      </c>
      <c r="C137">
        <f t="shared" si="7"/>
        <v>20</v>
      </c>
      <c r="D137" t="str">
        <f t="shared" si="8"/>
        <v>2012W20</v>
      </c>
      <c r="E137" t="str">
        <f>VLOOKUP(D137,segédtábla!$A$2:$C$13,2)</f>
        <v>2012M05</v>
      </c>
      <c r="F137" t="str">
        <f>VLOOKUP(D137,segédtábla!$A$2:$C$13,3)</f>
        <v>2012Q2</v>
      </c>
    </row>
    <row r="138" spans="1:6" x14ac:dyDescent="0.3">
      <c r="A138" s="1">
        <v>41046</v>
      </c>
      <c r="B138" t="str">
        <f t="shared" si="6"/>
        <v>N</v>
      </c>
      <c r="C138">
        <f t="shared" si="7"/>
        <v>20</v>
      </c>
      <c r="D138" t="str">
        <f t="shared" si="8"/>
        <v>2012W20</v>
      </c>
      <c r="E138" t="str">
        <f>VLOOKUP(D138,segédtábla!$A$2:$C$13,2)</f>
        <v>2012M05</v>
      </c>
      <c r="F138" t="str">
        <f>VLOOKUP(D138,segédtábla!$A$2:$C$13,3)</f>
        <v>2012Q2</v>
      </c>
    </row>
    <row r="139" spans="1:6" x14ac:dyDescent="0.3">
      <c r="A139" s="1">
        <v>41047</v>
      </c>
      <c r="B139" t="str">
        <f t="shared" si="6"/>
        <v>N</v>
      </c>
      <c r="C139">
        <f t="shared" si="7"/>
        <v>20</v>
      </c>
      <c r="D139" t="str">
        <f t="shared" si="8"/>
        <v>2012W20</v>
      </c>
      <c r="E139" t="str">
        <f>VLOOKUP(D139,segédtábla!$A$2:$C$13,2)</f>
        <v>2012M05</v>
      </c>
      <c r="F139" t="str">
        <f>VLOOKUP(D139,segédtábla!$A$2:$C$13,3)</f>
        <v>2012Q2</v>
      </c>
    </row>
    <row r="140" spans="1:6" x14ac:dyDescent="0.3">
      <c r="A140" s="1">
        <v>41048</v>
      </c>
      <c r="B140" t="str">
        <f t="shared" si="6"/>
        <v>Y</v>
      </c>
      <c r="C140">
        <f t="shared" si="7"/>
        <v>20</v>
      </c>
      <c r="D140" t="str">
        <f t="shared" si="8"/>
        <v>2012W20</v>
      </c>
      <c r="E140" t="str">
        <f>VLOOKUP(D140,segédtábla!$A$2:$C$13,2)</f>
        <v>2012M05</v>
      </c>
      <c r="F140" t="str">
        <f>VLOOKUP(D140,segédtábla!$A$2:$C$13,3)</f>
        <v>2012Q2</v>
      </c>
    </row>
    <row r="141" spans="1:6" x14ac:dyDescent="0.3">
      <c r="A141" s="1">
        <v>41049</v>
      </c>
      <c r="B141" t="str">
        <f t="shared" si="6"/>
        <v>Y</v>
      </c>
      <c r="C141">
        <f t="shared" si="7"/>
        <v>20</v>
      </c>
      <c r="D141" t="str">
        <f t="shared" si="8"/>
        <v>2012W20</v>
      </c>
      <c r="E141" t="str">
        <f>VLOOKUP(D141,segédtábla!$A$2:$C$13,2)</f>
        <v>2012M05</v>
      </c>
      <c r="F141" t="str">
        <f>VLOOKUP(D141,segédtábla!$A$2:$C$13,3)</f>
        <v>2012Q2</v>
      </c>
    </row>
    <row r="142" spans="1:6" x14ac:dyDescent="0.3">
      <c r="A142" s="1">
        <v>41050</v>
      </c>
      <c r="B142" t="str">
        <f t="shared" si="6"/>
        <v>N</v>
      </c>
      <c r="C142">
        <f t="shared" si="7"/>
        <v>21</v>
      </c>
      <c r="D142" t="str">
        <f t="shared" si="8"/>
        <v>2012W21</v>
      </c>
      <c r="E142" t="str">
        <f>VLOOKUP(D142,segédtábla!$A$2:$C$13,2)</f>
        <v>2012M05</v>
      </c>
      <c r="F142" t="str">
        <f>VLOOKUP(D142,segédtábla!$A$2:$C$13,3)</f>
        <v>2012Q2</v>
      </c>
    </row>
    <row r="143" spans="1:6" x14ac:dyDescent="0.3">
      <c r="A143" s="1">
        <v>41051</v>
      </c>
      <c r="B143" t="str">
        <f t="shared" si="6"/>
        <v>N</v>
      </c>
      <c r="C143">
        <f t="shared" si="7"/>
        <v>21</v>
      </c>
      <c r="D143" t="str">
        <f t="shared" si="8"/>
        <v>2012W21</v>
      </c>
      <c r="E143" t="str">
        <f>VLOOKUP(D143,segédtábla!$A$2:$C$13,2)</f>
        <v>2012M05</v>
      </c>
      <c r="F143" t="str">
        <f>VLOOKUP(D143,segédtábla!$A$2:$C$13,3)</f>
        <v>2012Q2</v>
      </c>
    </row>
    <row r="144" spans="1:6" x14ac:dyDescent="0.3">
      <c r="A144" s="1">
        <v>41052</v>
      </c>
      <c r="B144" t="str">
        <f t="shared" si="6"/>
        <v>N</v>
      </c>
      <c r="C144">
        <f t="shared" si="7"/>
        <v>21</v>
      </c>
      <c r="D144" t="str">
        <f t="shared" si="8"/>
        <v>2012W21</v>
      </c>
      <c r="E144" t="str">
        <f>VLOOKUP(D144,segédtábla!$A$2:$C$13,2)</f>
        <v>2012M05</v>
      </c>
      <c r="F144" t="str">
        <f>VLOOKUP(D144,segédtábla!$A$2:$C$13,3)</f>
        <v>2012Q2</v>
      </c>
    </row>
    <row r="145" spans="1:6" x14ac:dyDescent="0.3">
      <c r="A145" s="1">
        <v>41053</v>
      </c>
      <c r="B145" t="str">
        <f t="shared" si="6"/>
        <v>N</v>
      </c>
      <c r="C145">
        <f t="shared" si="7"/>
        <v>21</v>
      </c>
      <c r="D145" t="str">
        <f t="shared" si="8"/>
        <v>2012W21</v>
      </c>
      <c r="E145" t="str">
        <f>VLOOKUP(D145,segédtábla!$A$2:$C$13,2)</f>
        <v>2012M05</v>
      </c>
      <c r="F145" t="str">
        <f>VLOOKUP(D145,segédtábla!$A$2:$C$13,3)</f>
        <v>2012Q2</v>
      </c>
    </row>
    <row r="146" spans="1:6" x14ac:dyDescent="0.3">
      <c r="A146" s="1">
        <v>41054</v>
      </c>
      <c r="B146" t="str">
        <f t="shared" si="6"/>
        <v>N</v>
      </c>
      <c r="C146">
        <f t="shared" si="7"/>
        <v>21</v>
      </c>
      <c r="D146" t="str">
        <f t="shared" si="8"/>
        <v>2012W21</v>
      </c>
      <c r="E146" t="str">
        <f>VLOOKUP(D146,segédtábla!$A$2:$C$13,2)</f>
        <v>2012M05</v>
      </c>
      <c r="F146" t="str">
        <f>VLOOKUP(D146,segédtábla!$A$2:$C$13,3)</f>
        <v>2012Q2</v>
      </c>
    </row>
    <row r="147" spans="1:6" x14ac:dyDescent="0.3">
      <c r="A147" s="1">
        <v>41055</v>
      </c>
      <c r="B147" t="str">
        <f t="shared" si="6"/>
        <v>Y</v>
      </c>
      <c r="C147">
        <f t="shared" si="7"/>
        <v>21</v>
      </c>
      <c r="D147" t="str">
        <f t="shared" si="8"/>
        <v>2012W21</v>
      </c>
      <c r="E147" t="str">
        <f>VLOOKUP(D147,segédtábla!$A$2:$C$13,2)</f>
        <v>2012M05</v>
      </c>
      <c r="F147" t="str">
        <f>VLOOKUP(D147,segédtábla!$A$2:$C$13,3)</f>
        <v>2012Q2</v>
      </c>
    </row>
    <row r="148" spans="1:6" x14ac:dyDescent="0.3">
      <c r="A148" s="1">
        <v>41056</v>
      </c>
      <c r="B148" t="str">
        <f t="shared" si="6"/>
        <v>Y</v>
      </c>
      <c r="C148">
        <f t="shared" si="7"/>
        <v>21</v>
      </c>
      <c r="D148" t="str">
        <f t="shared" si="8"/>
        <v>2012W21</v>
      </c>
      <c r="E148" t="str">
        <f>VLOOKUP(D148,segédtábla!$A$2:$C$13,2)</f>
        <v>2012M05</v>
      </c>
      <c r="F148" t="str">
        <f>VLOOKUP(D148,segédtábla!$A$2:$C$13,3)</f>
        <v>2012Q2</v>
      </c>
    </row>
    <row r="149" spans="1:6" x14ac:dyDescent="0.3">
      <c r="A149" s="1">
        <v>41057</v>
      </c>
      <c r="B149" t="str">
        <f t="shared" si="6"/>
        <v>N</v>
      </c>
      <c r="C149">
        <f t="shared" si="7"/>
        <v>22</v>
      </c>
      <c r="D149" t="str">
        <f t="shared" si="8"/>
        <v>2012W22</v>
      </c>
      <c r="E149" t="str">
        <f>VLOOKUP(D149,segédtábla!$A$2:$C$13,2)</f>
        <v>2012M05</v>
      </c>
      <c r="F149" t="str">
        <f>VLOOKUP(D149,segédtábla!$A$2:$C$13,3)</f>
        <v>2012Q2</v>
      </c>
    </row>
    <row r="150" spans="1:6" x14ac:dyDescent="0.3">
      <c r="A150" s="1">
        <v>41058</v>
      </c>
      <c r="B150" t="str">
        <f t="shared" si="6"/>
        <v>N</v>
      </c>
      <c r="C150">
        <f t="shared" si="7"/>
        <v>22</v>
      </c>
      <c r="D150" t="str">
        <f t="shared" si="8"/>
        <v>2012W22</v>
      </c>
      <c r="E150" t="str">
        <f>VLOOKUP(D150,segédtábla!$A$2:$C$13,2)</f>
        <v>2012M05</v>
      </c>
      <c r="F150" t="str">
        <f>VLOOKUP(D150,segédtábla!$A$2:$C$13,3)</f>
        <v>2012Q2</v>
      </c>
    </row>
    <row r="151" spans="1:6" x14ac:dyDescent="0.3">
      <c r="A151" s="1">
        <v>41059</v>
      </c>
      <c r="B151" t="str">
        <f t="shared" si="6"/>
        <v>N</v>
      </c>
      <c r="C151">
        <f t="shared" si="7"/>
        <v>22</v>
      </c>
      <c r="D151" t="str">
        <f t="shared" si="8"/>
        <v>2012W22</v>
      </c>
      <c r="E151" t="str">
        <f>VLOOKUP(D151,segédtábla!$A$2:$C$13,2)</f>
        <v>2012M05</v>
      </c>
      <c r="F151" t="str">
        <f>VLOOKUP(D151,segédtábla!$A$2:$C$13,3)</f>
        <v>2012Q2</v>
      </c>
    </row>
    <row r="152" spans="1:6" x14ac:dyDescent="0.3">
      <c r="A152" s="1">
        <v>41060</v>
      </c>
      <c r="B152" t="str">
        <f t="shared" si="6"/>
        <v>N</v>
      </c>
      <c r="C152">
        <f t="shared" si="7"/>
        <v>22</v>
      </c>
      <c r="D152" t="str">
        <f t="shared" si="8"/>
        <v>2012W22</v>
      </c>
      <c r="E152" t="str">
        <f>VLOOKUP(D152,segédtábla!$A$2:$C$13,2)</f>
        <v>2012M05</v>
      </c>
      <c r="F152" t="str">
        <f>VLOOKUP(D152,segédtábla!$A$2:$C$13,3)</f>
        <v>2012Q2</v>
      </c>
    </row>
    <row r="153" spans="1:6" x14ac:dyDescent="0.3">
      <c r="A153" s="1">
        <v>41061</v>
      </c>
      <c r="B153" t="str">
        <f t="shared" si="6"/>
        <v>N</v>
      </c>
      <c r="C153">
        <f t="shared" si="7"/>
        <v>22</v>
      </c>
      <c r="D153" t="str">
        <f t="shared" si="8"/>
        <v>2012W22</v>
      </c>
      <c r="E153" t="str">
        <f>VLOOKUP(D153,segédtábla!$A$2:$C$13,2)</f>
        <v>2012M05</v>
      </c>
      <c r="F153" t="str">
        <f>VLOOKUP(D153,segédtábla!$A$2:$C$13,3)</f>
        <v>2012Q2</v>
      </c>
    </row>
    <row r="154" spans="1:6" x14ac:dyDescent="0.3">
      <c r="A154" s="1">
        <v>41062</v>
      </c>
      <c r="B154" t="str">
        <f t="shared" si="6"/>
        <v>Y</v>
      </c>
      <c r="C154">
        <f t="shared" si="7"/>
        <v>22</v>
      </c>
      <c r="D154" t="str">
        <f t="shared" si="8"/>
        <v>2012W22</v>
      </c>
      <c r="E154" t="str">
        <f>VLOOKUP(D154,segédtábla!$A$2:$C$13,2)</f>
        <v>2012M05</v>
      </c>
      <c r="F154" t="str">
        <f>VLOOKUP(D154,segédtábla!$A$2:$C$13,3)</f>
        <v>2012Q2</v>
      </c>
    </row>
    <row r="155" spans="1:6" x14ac:dyDescent="0.3">
      <c r="A155" s="1">
        <v>41063</v>
      </c>
      <c r="B155" t="str">
        <f t="shared" si="6"/>
        <v>Y</v>
      </c>
      <c r="C155">
        <f t="shared" si="7"/>
        <v>22</v>
      </c>
      <c r="D155" t="str">
        <f t="shared" si="8"/>
        <v>2012W22</v>
      </c>
      <c r="E155" t="str">
        <f>VLOOKUP(D155,segédtábla!$A$2:$C$13,2)</f>
        <v>2012M05</v>
      </c>
      <c r="F155" t="str">
        <f>VLOOKUP(D155,segédtábla!$A$2:$C$13,3)</f>
        <v>2012Q2</v>
      </c>
    </row>
    <row r="156" spans="1:6" x14ac:dyDescent="0.3">
      <c r="A156" s="1">
        <v>41064</v>
      </c>
      <c r="B156" t="str">
        <f t="shared" si="6"/>
        <v>N</v>
      </c>
      <c r="C156">
        <f t="shared" si="7"/>
        <v>23</v>
      </c>
      <c r="D156" t="str">
        <f t="shared" si="8"/>
        <v>2012W23</v>
      </c>
      <c r="E156" t="str">
        <f>VLOOKUP(D156,segédtábla!$A$2:$C$13,2)</f>
        <v>2012M06</v>
      </c>
      <c r="F156" t="str">
        <f>VLOOKUP(D156,segédtábla!$A$2:$C$13,3)</f>
        <v>2012Q2</v>
      </c>
    </row>
    <row r="157" spans="1:6" x14ac:dyDescent="0.3">
      <c r="A157" s="1">
        <v>41065</v>
      </c>
      <c r="B157" t="str">
        <f t="shared" si="6"/>
        <v>N</v>
      </c>
      <c r="C157">
        <f t="shared" si="7"/>
        <v>23</v>
      </c>
      <c r="D157" t="str">
        <f t="shared" si="8"/>
        <v>2012W23</v>
      </c>
      <c r="E157" t="str">
        <f>VLOOKUP(D157,segédtábla!$A$2:$C$13,2)</f>
        <v>2012M06</v>
      </c>
      <c r="F157" t="str">
        <f>VLOOKUP(D157,segédtábla!$A$2:$C$13,3)</f>
        <v>2012Q2</v>
      </c>
    </row>
    <row r="158" spans="1:6" x14ac:dyDescent="0.3">
      <c r="A158" s="1">
        <v>41066</v>
      </c>
      <c r="B158" t="str">
        <f t="shared" si="6"/>
        <v>N</v>
      </c>
      <c r="C158">
        <f t="shared" si="7"/>
        <v>23</v>
      </c>
      <c r="D158" t="str">
        <f t="shared" si="8"/>
        <v>2012W23</v>
      </c>
      <c r="E158" t="str">
        <f>VLOOKUP(D158,segédtábla!$A$2:$C$13,2)</f>
        <v>2012M06</v>
      </c>
      <c r="F158" t="str">
        <f>VLOOKUP(D158,segédtábla!$A$2:$C$13,3)</f>
        <v>2012Q2</v>
      </c>
    </row>
    <row r="159" spans="1:6" x14ac:dyDescent="0.3">
      <c r="A159" s="1">
        <v>41067</v>
      </c>
      <c r="B159" t="str">
        <f t="shared" si="6"/>
        <v>N</v>
      </c>
      <c r="C159">
        <f t="shared" si="7"/>
        <v>23</v>
      </c>
      <c r="D159" t="str">
        <f t="shared" si="8"/>
        <v>2012W23</v>
      </c>
      <c r="E159" t="str">
        <f>VLOOKUP(D159,segédtábla!$A$2:$C$13,2)</f>
        <v>2012M06</v>
      </c>
      <c r="F159" t="str">
        <f>VLOOKUP(D159,segédtábla!$A$2:$C$13,3)</f>
        <v>2012Q2</v>
      </c>
    </row>
    <row r="160" spans="1:6" x14ac:dyDescent="0.3">
      <c r="A160" s="1">
        <v>41068</v>
      </c>
      <c r="B160" t="str">
        <f t="shared" si="6"/>
        <v>N</v>
      </c>
      <c r="C160">
        <f t="shared" si="7"/>
        <v>23</v>
      </c>
      <c r="D160" t="str">
        <f t="shared" si="8"/>
        <v>2012W23</v>
      </c>
      <c r="E160" t="str">
        <f>VLOOKUP(D160,segédtábla!$A$2:$C$13,2)</f>
        <v>2012M06</v>
      </c>
      <c r="F160" t="str">
        <f>VLOOKUP(D160,segédtábla!$A$2:$C$13,3)</f>
        <v>2012Q2</v>
      </c>
    </row>
    <row r="161" spans="1:6" x14ac:dyDescent="0.3">
      <c r="A161" s="1">
        <v>41069</v>
      </c>
      <c r="B161" t="str">
        <f t="shared" si="6"/>
        <v>Y</v>
      </c>
      <c r="C161">
        <f t="shared" si="7"/>
        <v>23</v>
      </c>
      <c r="D161" t="str">
        <f t="shared" si="8"/>
        <v>2012W23</v>
      </c>
      <c r="E161" t="str">
        <f>VLOOKUP(D161,segédtábla!$A$2:$C$13,2)</f>
        <v>2012M06</v>
      </c>
      <c r="F161" t="str">
        <f>VLOOKUP(D161,segédtábla!$A$2:$C$13,3)</f>
        <v>2012Q2</v>
      </c>
    </row>
    <row r="162" spans="1:6" x14ac:dyDescent="0.3">
      <c r="A162" s="1">
        <v>41070</v>
      </c>
      <c r="B162" t="str">
        <f t="shared" si="6"/>
        <v>Y</v>
      </c>
      <c r="C162">
        <f t="shared" si="7"/>
        <v>23</v>
      </c>
      <c r="D162" t="str">
        <f t="shared" si="8"/>
        <v>2012W23</v>
      </c>
      <c r="E162" t="str">
        <f>VLOOKUP(D162,segédtábla!$A$2:$C$13,2)</f>
        <v>2012M06</v>
      </c>
      <c r="F162" t="str">
        <f>VLOOKUP(D162,segédtábla!$A$2:$C$13,3)</f>
        <v>2012Q2</v>
      </c>
    </row>
    <row r="163" spans="1:6" x14ac:dyDescent="0.3">
      <c r="A163" s="1">
        <v>41071</v>
      </c>
      <c r="B163" t="str">
        <f t="shared" si="6"/>
        <v>N</v>
      </c>
      <c r="C163">
        <f t="shared" si="7"/>
        <v>24</v>
      </c>
      <c r="D163" t="str">
        <f t="shared" si="8"/>
        <v>2012W24</v>
      </c>
      <c r="E163" t="str">
        <f>VLOOKUP(D163,segédtábla!$A$2:$C$13,2)</f>
        <v>2012M06</v>
      </c>
      <c r="F163" t="str">
        <f>VLOOKUP(D163,segédtábla!$A$2:$C$13,3)</f>
        <v>2012Q2</v>
      </c>
    </row>
    <row r="164" spans="1:6" x14ac:dyDescent="0.3">
      <c r="A164" s="1">
        <v>41072</v>
      </c>
      <c r="B164" t="str">
        <f t="shared" si="6"/>
        <v>N</v>
      </c>
      <c r="C164">
        <f t="shared" si="7"/>
        <v>24</v>
      </c>
      <c r="D164" t="str">
        <f t="shared" si="8"/>
        <v>2012W24</v>
      </c>
      <c r="E164" t="str">
        <f>VLOOKUP(D164,segédtábla!$A$2:$C$13,2)</f>
        <v>2012M06</v>
      </c>
      <c r="F164" t="str">
        <f>VLOOKUP(D164,segédtábla!$A$2:$C$13,3)</f>
        <v>2012Q2</v>
      </c>
    </row>
    <row r="165" spans="1:6" x14ac:dyDescent="0.3">
      <c r="A165" s="1">
        <v>41073</v>
      </c>
      <c r="B165" t="str">
        <f t="shared" si="6"/>
        <v>N</v>
      </c>
      <c r="C165">
        <f t="shared" si="7"/>
        <v>24</v>
      </c>
      <c r="D165" t="str">
        <f t="shared" si="8"/>
        <v>2012W24</v>
      </c>
      <c r="E165" t="str">
        <f>VLOOKUP(D165,segédtábla!$A$2:$C$13,2)</f>
        <v>2012M06</v>
      </c>
      <c r="F165" t="str">
        <f>VLOOKUP(D165,segédtábla!$A$2:$C$13,3)</f>
        <v>2012Q2</v>
      </c>
    </row>
    <row r="166" spans="1:6" x14ac:dyDescent="0.3">
      <c r="A166" s="1">
        <v>41074</v>
      </c>
      <c r="B166" t="str">
        <f t="shared" si="6"/>
        <v>N</v>
      </c>
      <c r="C166">
        <f t="shared" si="7"/>
        <v>24</v>
      </c>
      <c r="D166" t="str">
        <f t="shared" si="8"/>
        <v>2012W24</v>
      </c>
      <c r="E166" t="str">
        <f>VLOOKUP(D166,segédtábla!$A$2:$C$13,2)</f>
        <v>2012M06</v>
      </c>
      <c r="F166" t="str">
        <f>VLOOKUP(D166,segédtábla!$A$2:$C$13,3)</f>
        <v>2012Q2</v>
      </c>
    </row>
    <row r="167" spans="1:6" x14ac:dyDescent="0.3">
      <c r="A167" s="1">
        <v>41075</v>
      </c>
      <c r="B167" t="str">
        <f t="shared" si="6"/>
        <v>N</v>
      </c>
      <c r="C167">
        <f t="shared" si="7"/>
        <v>24</v>
      </c>
      <c r="D167" t="str">
        <f t="shared" si="8"/>
        <v>2012W24</v>
      </c>
      <c r="E167" t="str">
        <f>VLOOKUP(D167,segédtábla!$A$2:$C$13,2)</f>
        <v>2012M06</v>
      </c>
      <c r="F167" t="str">
        <f>VLOOKUP(D167,segédtábla!$A$2:$C$13,3)</f>
        <v>2012Q2</v>
      </c>
    </row>
    <row r="168" spans="1:6" x14ac:dyDescent="0.3">
      <c r="A168" s="1">
        <v>41076</v>
      </c>
      <c r="B168" t="str">
        <f t="shared" si="6"/>
        <v>Y</v>
      </c>
      <c r="C168">
        <f t="shared" si="7"/>
        <v>24</v>
      </c>
      <c r="D168" t="str">
        <f t="shared" si="8"/>
        <v>2012W24</v>
      </c>
      <c r="E168" t="str">
        <f>VLOOKUP(D168,segédtábla!$A$2:$C$13,2)</f>
        <v>2012M06</v>
      </c>
      <c r="F168" t="str">
        <f>VLOOKUP(D168,segédtábla!$A$2:$C$13,3)</f>
        <v>2012Q2</v>
      </c>
    </row>
    <row r="169" spans="1:6" x14ac:dyDescent="0.3">
      <c r="A169" s="1">
        <v>41077</v>
      </c>
      <c r="B169" t="str">
        <f t="shared" si="6"/>
        <v>Y</v>
      </c>
      <c r="C169">
        <f t="shared" si="7"/>
        <v>24</v>
      </c>
      <c r="D169" t="str">
        <f t="shared" si="8"/>
        <v>2012W24</v>
      </c>
      <c r="E169" t="str">
        <f>VLOOKUP(D169,segédtábla!$A$2:$C$13,2)</f>
        <v>2012M06</v>
      </c>
      <c r="F169" t="str">
        <f>VLOOKUP(D169,segédtábla!$A$2:$C$13,3)</f>
        <v>2012Q2</v>
      </c>
    </row>
    <row r="170" spans="1:6" x14ac:dyDescent="0.3">
      <c r="A170" s="1">
        <v>41078</v>
      </c>
      <c r="B170" t="str">
        <f t="shared" si="6"/>
        <v>N</v>
      </c>
      <c r="C170">
        <f t="shared" si="7"/>
        <v>25</v>
      </c>
      <c r="D170" t="str">
        <f t="shared" si="8"/>
        <v>2012W25</v>
      </c>
      <c r="E170" t="str">
        <f>VLOOKUP(D170,segédtábla!$A$2:$C$13,2)</f>
        <v>2012M06</v>
      </c>
      <c r="F170" t="str">
        <f>VLOOKUP(D170,segédtábla!$A$2:$C$13,3)</f>
        <v>2012Q2</v>
      </c>
    </row>
    <row r="171" spans="1:6" x14ac:dyDescent="0.3">
      <c r="A171" s="1">
        <v>41079</v>
      </c>
      <c r="B171" t="str">
        <f t="shared" si="6"/>
        <v>N</v>
      </c>
      <c r="C171">
        <f t="shared" si="7"/>
        <v>25</v>
      </c>
      <c r="D171" t="str">
        <f t="shared" si="8"/>
        <v>2012W25</v>
      </c>
      <c r="E171" t="str">
        <f>VLOOKUP(D171,segédtábla!$A$2:$C$13,2)</f>
        <v>2012M06</v>
      </c>
      <c r="F171" t="str">
        <f>VLOOKUP(D171,segédtábla!$A$2:$C$13,3)</f>
        <v>2012Q2</v>
      </c>
    </row>
    <row r="172" spans="1:6" x14ac:dyDescent="0.3">
      <c r="A172" s="1">
        <v>41080</v>
      </c>
      <c r="B172" t="str">
        <f t="shared" si="6"/>
        <v>N</v>
      </c>
      <c r="C172">
        <f t="shared" si="7"/>
        <v>25</v>
      </c>
      <c r="D172" t="str">
        <f t="shared" si="8"/>
        <v>2012W25</v>
      </c>
      <c r="E172" t="str">
        <f>VLOOKUP(D172,segédtábla!$A$2:$C$13,2)</f>
        <v>2012M06</v>
      </c>
      <c r="F172" t="str">
        <f>VLOOKUP(D172,segédtábla!$A$2:$C$13,3)</f>
        <v>2012Q2</v>
      </c>
    </row>
    <row r="173" spans="1:6" x14ac:dyDescent="0.3">
      <c r="A173" s="1">
        <v>41081</v>
      </c>
      <c r="B173" t="str">
        <f t="shared" si="6"/>
        <v>N</v>
      </c>
      <c r="C173">
        <f t="shared" si="7"/>
        <v>25</v>
      </c>
      <c r="D173" t="str">
        <f t="shared" si="8"/>
        <v>2012W25</v>
      </c>
      <c r="E173" t="str">
        <f>VLOOKUP(D173,segédtábla!$A$2:$C$13,2)</f>
        <v>2012M06</v>
      </c>
      <c r="F173" t="str">
        <f>VLOOKUP(D173,segédtábla!$A$2:$C$13,3)</f>
        <v>2012Q2</v>
      </c>
    </row>
    <row r="174" spans="1:6" x14ac:dyDescent="0.3">
      <c r="A174" s="1">
        <v>41082</v>
      </c>
      <c r="B174" t="str">
        <f t="shared" si="6"/>
        <v>N</v>
      </c>
      <c r="C174">
        <f t="shared" si="7"/>
        <v>25</v>
      </c>
      <c r="D174" t="str">
        <f t="shared" si="8"/>
        <v>2012W25</v>
      </c>
      <c r="E174" t="str">
        <f>VLOOKUP(D174,segédtábla!$A$2:$C$13,2)</f>
        <v>2012M06</v>
      </c>
      <c r="F174" t="str">
        <f>VLOOKUP(D174,segédtábla!$A$2:$C$13,3)</f>
        <v>2012Q2</v>
      </c>
    </row>
    <row r="175" spans="1:6" x14ac:dyDescent="0.3">
      <c r="A175" s="1">
        <v>41083</v>
      </c>
      <c r="B175" t="str">
        <f t="shared" si="6"/>
        <v>Y</v>
      </c>
      <c r="C175">
        <f t="shared" si="7"/>
        <v>25</v>
      </c>
      <c r="D175" t="str">
        <f t="shared" si="8"/>
        <v>2012W25</v>
      </c>
      <c r="E175" t="str">
        <f>VLOOKUP(D175,segédtábla!$A$2:$C$13,2)</f>
        <v>2012M06</v>
      </c>
      <c r="F175" t="str">
        <f>VLOOKUP(D175,segédtábla!$A$2:$C$13,3)</f>
        <v>2012Q2</v>
      </c>
    </row>
    <row r="176" spans="1:6" x14ac:dyDescent="0.3">
      <c r="A176" s="1">
        <v>41084</v>
      </c>
      <c r="B176" t="str">
        <f t="shared" si="6"/>
        <v>Y</v>
      </c>
      <c r="C176">
        <f t="shared" si="7"/>
        <v>25</v>
      </c>
      <c r="D176" t="str">
        <f t="shared" si="8"/>
        <v>2012W25</v>
      </c>
      <c r="E176" t="str">
        <f>VLOOKUP(D176,segédtábla!$A$2:$C$13,2)</f>
        <v>2012M06</v>
      </c>
      <c r="F176" t="str">
        <f>VLOOKUP(D176,segédtábla!$A$2:$C$13,3)</f>
        <v>2012Q2</v>
      </c>
    </row>
    <row r="177" spans="1:6" x14ac:dyDescent="0.3">
      <c r="A177" s="1">
        <v>41085</v>
      </c>
      <c r="B177" t="str">
        <f t="shared" si="6"/>
        <v>N</v>
      </c>
      <c r="C177">
        <f t="shared" si="7"/>
        <v>26</v>
      </c>
      <c r="D177" t="str">
        <f t="shared" si="8"/>
        <v>2012W26</v>
      </c>
      <c r="E177" t="str">
        <f>VLOOKUP(D177,segédtábla!$A$2:$C$13,2)</f>
        <v>2012M06</v>
      </c>
      <c r="F177" t="str">
        <f>VLOOKUP(D177,segédtábla!$A$2:$C$13,3)</f>
        <v>2012Q2</v>
      </c>
    </row>
    <row r="178" spans="1:6" x14ac:dyDescent="0.3">
      <c r="A178" s="1">
        <v>41086</v>
      </c>
      <c r="B178" t="str">
        <f t="shared" si="6"/>
        <v>N</v>
      </c>
      <c r="C178">
        <f t="shared" si="7"/>
        <v>26</v>
      </c>
      <c r="D178" t="str">
        <f t="shared" si="8"/>
        <v>2012W26</v>
      </c>
      <c r="E178" t="str">
        <f>VLOOKUP(D178,segédtábla!$A$2:$C$13,2)</f>
        <v>2012M06</v>
      </c>
      <c r="F178" t="str">
        <f>VLOOKUP(D178,segédtábla!$A$2:$C$13,3)</f>
        <v>2012Q2</v>
      </c>
    </row>
    <row r="179" spans="1:6" x14ac:dyDescent="0.3">
      <c r="A179" s="1">
        <v>41087</v>
      </c>
      <c r="B179" t="str">
        <f t="shared" si="6"/>
        <v>N</v>
      </c>
      <c r="C179">
        <f t="shared" si="7"/>
        <v>26</v>
      </c>
      <c r="D179" t="str">
        <f t="shared" si="8"/>
        <v>2012W26</v>
      </c>
      <c r="E179" t="str">
        <f>VLOOKUP(D179,segédtábla!$A$2:$C$13,2)</f>
        <v>2012M06</v>
      </c>
      <c r="F179" t="str">
        <f>VLOOKUP(D179,segédtábla!$A$2:$C$13,3)</f>
        <v>2012Q2</v>
      </c>
    </row>
    <row r="180" spans="1:6" x14ac:dyDescent="0.3">
      <c r="A180" s="1">
        <v>41088</v>
      </c>
      <c r="B180" t="str">
        <f t="shared" si="6"/>
        <v>N</v>
      </c>
      <c r="C180">
        <f t="shared" si="7"/>
        <v>26</v>
      </c>
      <c r="D180" t="str">
        <f t="shared" si="8"/>
        <v>2012W26</v>
      </c>
      <c r="E180" t="str">
        <f>VLOOKUP(D180,segédtábla!$A$2:$C$13,2)</f>
        <v>2012M06</v>
      </c>
      <c r="F180" t="str">
        <f>VLOOKUP(D180,segédtábla!$A$2:$C$13,3)</f>
        <v>2012Q2</v>
      </c>
    </row>
    <row r="181" spans="1:6" x14ac:dyDescent="0.3">
      <c r="A181" s="1">
        <v>41089</v>
      </c>
      <c r="B181" t="str">
        <f t="shared" si="6"/>
        <v>N</v>
      </c>
      <c r="C181">
        <f t="shared" si="7"/>
        <v>26</v>
      </c>
      <c r="D181" t="str">
        <f t="shared" si="8"/>
        <v>2012W26</v>
      </c>
      <c r="E181" t="str">
        <f>VLOOKUP(D181,segédtábla!$A$2:$C$13,2)</f>
        <v>2012M06</v>
      </c>
      <c r="F181" t="str">
        <f>VLOOKUP(D181,segédtábla!$A$2:$C$13,3)</f>
        <v>2012Q2</v>
      </c>
    </row>
    <row r="182" spans="1:6" x14ac:dyDescent="0.3">
      <c r="A182" s="1">
        <v>41090</v>
      </c>
      <c r="B182" t="str">
        <f t="shared" si="6"/>
        <v>Y</v>
      </c>
      <c r="C182">
        <f t="shared" si="7"/>
        <v>26</v>
      </c>
      <c r="D182" t="str">
        <f t="shared" si="8"/>
        <v>2012W26</v>
      </c>
      <c r="E182" t="str">
        <f>VLOOKUP(D182,segédtábla!$A$2:$C$13,2)</f>
        <v>2012M06</v>
      </c>
      <c r="F182" t="str">
        <f>VLOOKUP(D182,segédtábla!$A$2:$C$13,3)</f>
        <v>2012Q2</v>
      </c>
    </row>
    <row r="183" spans="1:6" x14ac:dyDescent="0.3">
      <c r="A183" s="1">
        <v>41091</v>
      </c>
      <c r="B183" t="str">
        <f t="shared" si="6"/>
        <v>Y</v>
      </c>
      <c r="C183">
        <f t="shared" si="7"/>
        <v>26</v>
      </c>
      <c r="D183" t="str">
        <f t="shared" si="8"/>
        <v>2012W26</v>
      </c>
      <c r="E183" t="str">
        <f>VLOOKUP(D183,segédtábla!$A$2:$C$13,2)</f>
        <v>2012M06</v>
      </c>
      <c r="F183" t="str">
        <f>VLOOKUP(D183,segédtábla!$A$2:$C$13,3)</f>
        <v>2012Q2</v>
      </c>
    </row>
    <row r="184" spans="1:6" x14ac:dyDescent="0.3">
      <c r="A184" s="1">
        <v>41092</v>
      </c>
      <c r="B184" t="str">
        <f t="shared" si="6"/>
        <v>N</v>
      </c>
      <c r="C184">
        <f t="shared" si="7"/>
        <v>27</v>
      </c>
      <c r="D184" t="str">
        <f t="shared" si="8"/>
        <v>2012W27</v>
      </c>
      <c r="E184" t="str">
        <f>VLOOKUP(D184,segédtábla!$A$2:$C$13,2)</f>
        <v>2012M07</v>
      </c>
      <c r="F184" t="str">
        <f>VLOOKUP(D184,segédtábla!$A$2:$C$13,3)</f>
        <v>2012Q3</v>
      </c>
    </row>
    <row r="185" spans="1:6" x14ac:dyDescent="0.3">
      <c r="A185" s="1">
        <v>41093</v>
      </c>
      <c r="B185" t="str">
        <f t="shared" si="6"/>
        <v>N</v>
      </c>
      <c r="C185">
        <f t="shared" si="7"/>
        <v>27</v>
      </c>
      <c r="D185" t="str">
        <f t="shared" si="8"/>
        <v>2012W27</v>
      </c>
      <c r="E185" t="str">
        <f>VLOOKUP(D185,segédtábla!$A$2:$C$13,2)</f>
        <v>2012M07</v>
      </c>
      <c r="F185" t="str">
        <f>VLOOKUP(D185,segédtábla!$A$2:$C$13,3)</f>
        <v>2012Q3</v>
      </c>
    </row>
    <row r="186" spans="1:6" x14ac:dyDescent="0.3">
      <c r="A186" s="1">
        <v>41094</v>
      </c>
      <c r="B186" t="str">
        <f t="shared" si="6"/>
        <v>N</v>
      </c>
      <c r="C186">
        <f t="shared" si="7"/>
        <v>27</v>
      </c>
      <c r="D186" t="str">
        <f t="shared" si="8"/>
        <v>2012W27</v>
      </c>
      <c r="E186" t="str">
        <f>VLOOKUP(D186,segédtábla!$A$2:$C$13,2)</f>
        <v>2012M07</v>
      </c>
      <c r="F186" t="str">
        <f>VLOOKUP(D186,segédtábla!$A$2:$C$13,3)</f>
        <v>2012Q3</v>
      </c>
    </row>
    <row r="187" spans="1:6" x14ac:dyDescent="0.3">
      <c r="A187" s="1">
        <v>41095</v>
      </c>
      <c r="B187" t="str">
        <f t="shared" si="6"/>
        <v>N</v>
      </c>
      <c r="C187">
        <f t="shared" si="7"/>
        <v>27</v>
      </c>
      <c r="D187" t="str">
        <f t="shared" si="8"/>
        <v>2012W27</v>
      </c>
      <c r="E187" t="str">
        <f>VLOOKUP(D187,segédtábla!$A$2:$C$13,2)</f>
        <v>2012M07</v>
      </c>
      <c r="F187" t="str">
        <f>VLOOKUP(D187,segédtábla!$A$2:$C$13,3)</f>
        <v>2012Q3</v>
      </c>
    </row>
    <row r="188" spans="1:6" x14ac:dyDescent="0.3">
      <c r="A188" s="1">
        <v>41096</v>
      </c>
      <c r="B188" t="str">
        <f t="shared" si="6"/>
        <v>N</v>
      </c>
      <c r="C188">
        <f t="shared" si="7"/>
        <v>27</v>
      </c>
      <c r="D188" t="str">
        <f t="shared" si="8"/>
        <v>2012W27</v>
      </c>
      <c r="E188" t="str">
        <f>VLOOKUP(D188,segédtábla!$A$2:$C$13,2)</f>
        <v>2012M07</v>
      </c>
      <c r="F188" t="str">
        <f>VLOOKUP(D188,segédtábla!$A$2:$C$13,3)</f>
        <v>2012Q3</v>
      </c>
    </row>
    <row r="189" spans="1:6" x14ac:dyDescent="0.3">
      <c r="A189" s="1">
        <v>41097</v>
      </c>
      <c r="B189" t="str">
        <f t="shared" si="6"/>
        <v>Y</v>
      </c>
      <c r="C189">
        <f t="shared" si="7"/>
        <v>27</v>
      </c>
      <c r="D189" t="str">
        <f t="shared" si="8"/>
        <v>2012W27</v>
      </c>
      <c r="E189" t="str">
        <f>VLOOKUP(D189,segédtábla!$A$2:$C$13,2)</f>
        <v>2012M07</v>
      </c>
      <c r="F189" t="str">
        <f>VLOOKUP(D189,segédtábla!$A$2:$C$13,3)</f>
        <v>2012Q3</v>
      </c>
    </row>
    <row r="190" spans="1:6" x14ac:dyDescent="0.3">
      <c r="A190" s="1">
        <v>41098</v>
      </c>
      <c r="B190" t="str">
        <f t="shared" si="6"/>
        <v>Y</v>
      </c>
      <c r="C190">
        <f t="shared" si="7"/>
        <v>27</v>
      </c>
      <c r="D190" t="str">
        <f t="shared" si="8"/>
        <v>2012W27</v>
      </c>
      <c r="E190" t="str">
        <f>VLOOKUP(D190,segédtábla!$A$2:$C$13,2)</f>
        <v>2012M07</v>
      </c>
      <c r="F190" t="str">
        <f>VLOOKUP(D190,segédtábla!$A$2:$C$13,3)</f>
        <v>2012Q3</v>
      </c>
    </row>
    <row r="191" spans="1:6" x14ac:dyDescent="0.3">
      <c r="A191" s="1">
        <v>41099</v>
      </c>
      <c r="B191" t="str">
        <f t="shared" si="6"/>
        <v>N</v>
      </c>
      <c r="C191">
        <f t="shared" si="7"/>
        <v>28</v>
      </c>
      <c r="D191" t="str">
        <f t="shared" si="8"/>
        <v>2012W28</v>
      </c>
      <c r="E191" t="str">
        <f>VLOOKUP(D191,segédtábla!$A$2:$C$13,2)</f>
        <v>2012M07</v>
      </c>
      <c r="F191" t="str">
        <f>VLOOKUP(D191,segédtábla!$A$2:$C$13,3)</f>
        <v>2012Q3</v>
      </c>
    </row>
    <row r="192" spans="1:6" x14ac:dyDescent="0.3">
      <c r="A192" s="1">
        <v>41100</v>
      </c>
      <c r="B192" t="str">
        <f t="shared" si="6"/>
        <v>N</v>
      </c>
      <c r="C192">
        <f t="shared" si="7"/>
        <v>28</v>
      </c>
      <c r="D192" t="str">
        <f t="shared" si="8"/>
        <v>2012W28</v>
      </c>
      <c r="E192" t="str">
        <f>VLOOKUP(D192,segédtábla!$A$2:$C$13,2)</f>
        <v>2012M07</v>
      </c>
      <c r="F192" t="str">
        <f>VLOOKUP(D192,segédtábla!$A$2:$C$13,3)</f>
        <v>2012Q3</v>
      </c>
    </row>
    <row r="193" spans="1:6" x14ac:dyDescent="0.3">
      <c r="A193" s="1">
        <v>41101</v>
      </c>
      <c r="B193" t="str">
        <f t="shared" si="6"/>
        <v>N</v>
      </c>
      <c r="C193">
        <f t="shared" si="7"/>
        <v>28</v>
      </c>
      <c r="D193" t="str">
        <f t="shared" si="8"/>
        <v>2012W28</v>
      </c>
      <c r="E193" t="str">
        <f>VLOOKUP(D193,segédtábla!$A$2:$C$13,2)</f>
        <v>2012M07</v>
      </c>
      <c r="F193" t="str">
        <f>VLOOKUP(D193,segédtábla!$A$2:$C$13,3)</f>
        <v>2012Q3</v>
      </c>
    </row>
    <row r="194" spans="1:6" x14ac:dyDescent="0.3">
      <c r="A194" s="1">
        <v>41102</v>
      </c>
      <c r="B194" t="str">
        <f t="shared" si="6"/>
        <v>N</v>
      </c>
      <c r="C194">
        <f t="shared" si="7"/>
        <v>28</v>
      </c>
      <c r="D194" t="str">
        <f t="shared" si="8"/>
        <v>2012W28</v>
      </c>
      <c r="E194" t="str">
        <f>VLOOKUP(D194,segédtábla!$A$2:$C$13,2)</f>
        <v>2012M07</v>
      </c>
      <c r="F194" t="str">
        <f>VLOOKUP(D194,segédtábla!$A$2:$C$13,3)</f>
        <v>2012Q3</v>
      </c>
    </row>
    <row r="195" spans="1:6" x14ac:dyDescent="0.3">
      <c r="A195" s="1">
        <v>41103</v>
      </c>
      <c r="B195" t="str">
        <f t="shared" ref="B195:B258" si="9">IF(WEEKDAY(A195,2)&gt;5,"Y","N")</f>
        <v>N</v>
      </c>
      <c r="C195">
        <f t="shared" ref="C195:C258" si="10">_xlfn.ISOWEEKNUM(A195)</f>
        <v>28</v>
      </c>
      <c r="D195" t="str">
        <f t="shared" ref="D195:D258" si="11">YEAR(A195)&amp;"W"&amp;IF(C195&lt;10,0&amp;C195,C195)</f>
        <v>2012W28</v>
      </c>
      <c r="E195" t="str">
        <f>VLOOKUP(D195,segédtábla!$A$2:$C$13,2)</f>
        <v>2012M07</v>
      </c>
      <c r="F195" t="str">
        <f>VLOOKUP(D195,segédtábla!$A$2:$C$13,3)</f>
        <v>2012Q3</v>
      </c>
    </row>
    <row r="196" spans="1:6" x14ac:dyDescent="0.3">
      <c r="A196" s="1">
        <v>41104</v>
      </c>
      <c r="B196" t="str">
        <f t="shared" si="9"/>
        <v>Y</v>
      </c>
      <c r="C196">
        <f t="shared" si="10"/>
        <v>28</v>
      </c>
      <c r="D196" t="str">
        <f t="shared" si="11"/>
        <v>2012W28</v>
      </c>
      <c r="E196" t="str">
        <f>VLOOKUP(D196,segédtábla!$A$2:$C$13,2)</f>
        <v>2012M07</v>
      </c>
      <c r="F196" t="str">
        <f>VLOOKUP(D196,segédtábla!$A$2:$C$13,3)</f>
        <v>2012Q3</v>
      </c>
    </row>
    <row r="197" spans="1:6" x14ac:dyDescent="0.3">
      <c r="A197" s="1">
        <v>41105</v>
      </c>
      <c r="B197" t="str">
        <f t="shared" si="9"/>
        <v>Y</v>
      </c>
      <c r="C197">
        <f t="shared" si="10"/>
        <v>28</v>
      </c>
      <c r="D197" t="str">
        <f t="shared" si="11"/>
        <v>2012W28</v>
      </c>
      <c r="E197" t="str">
        <f>VLOOKUP(D197,segédtábla!$A$2:$C$13,2)</f>
        <v>2012M07</v>
      </c>
      <c r="F197" t="str">
        <f>VLOOKUP(D197,segédtábla!$A$2:$C$13,3)</f>
        <v>2012Q3</v>
      </c>
    </row>
    <row r="198" spans="1:6" x14ac:dyDescent="0.3">
      <c r="A198" s="1">
        <v>41106</v>
      </c>
      <c r="B198" t="str">
        <f t="shared" si="9"/>
        <v>N</v>
      </c>
      <c r="C198">
        <f t="shared" si="10"/>
        <v>29</v>
      </c>
      <c r="D198" t="str">
        <f t="shared" si="11"/>
        <v>2012W29</v>
      </c>
      <c r="E198" t="str">
        <f>VLOOKUP(D198,segédtábla!$A$2:$C$13,2)</f>
        <v>2012M07</v>
      </c>
      <c r="F198" t="str">
        <f>VLOOKUP(D198,segédtábla!$A$2:$C$13,3)</f>
        <v>2012Q3</v>
      </c>
    </row>
    <row r="199" spans="1:6" x14ac:dyDescent="0.3">
      <c r="A199" s="1">
        <v>41107</v>
      </c>
      <c r="B199" t="str">
        <f t="shared" si="9"/>
        <v>N</v>
      </c>
      <c r="C199">
        <f t="shared" si="10"/>
        <v>29</v>
      </c>
      <c r="D199" t="str">
        <f t="shared" si="11"/>
        <v>2012W29</v>
      </c>
      <c r="E199" t="str">
        <f>VLOOKUP(D199,segédtábla!$A$2:$C$13,2)</f>
        <v>2012M07</v>
      </c>
      <c r="F199" t="str">
        <f>VLOOKUP(D199,segédtábla!$A$2:$C$13,3)</f>
        <v>2012Q3</v>
      </c>
    </row>
    <row r="200" spans="1:6" x14ac:dyDescent="0.3">
      <c r="A200" s="1">
        <v>41108</v>
      </c>
      <c r="B200" t="str">
        <f t="shared" si="9"/>
        <v>N</v>
      </c>
      <c r="C200">
        <f t="shared" si="10"/>
        <v>29</v>
      </c>
      <c r="D200" t="str">
        <f t="shared" si="11"/>
        <v>2012W29</v>
      </c>
      <c r="E200" t="str">
        <f>VLOOKUP(D200,segédtábla!$A$2:$C$13,2)</f>
        <v>2012M07</v>
      </c>
      <c r="F200" t="str">
        <f>VLOOKUP(D200,segédtábla!$A$2:$C$13,3)</f>
        <v>2012Q3</v>
      </c>
    </row>
    <row r="201" spans="1:6" x14ac:dyDescent="0.3">
      <c r="A201" s="1">
        <v>41109</v>
      </c>
      <c r="B201" t="str">
        <f t="shared" si="9"/>
        <v>N</v>
      </c>
      <c r="C201">
        <f t="shared" si="10"/>
        <v>29</v>
      </c>
      <c r="D201" t="str">
        <f t="shared" si="11"/>
        <v>2012W29</v>
      </c>
      <c r="E201" t="str">
        <f>VLOOKUP(D201,segédtábla!$A$2:$C$13,2)</f>
        <v>2012M07</v>
      </c>
      <c r="F201" t="str">
        <f>VLOOKUP(D201,segédtábla!$A$2:$C$13,3)</f>
        <v>2012Q3</v>
      </c>
    </row>
    <row r="202" spans="1:6" x14ac:dyDescent="0.3">
      <c r="A202" s="1">
        <v>41110</v>
      </c>
      <c r="B202" t="str">
        <f t="shared" si="9"/>
        <v>N</v>
      </c>
      <c r="C202">
        <f t="shared" si="10"/>
        <v>29</v>
      </c>
      <c r="D202" t="str">
        <f t="shared" si="11"/>
        <v>2012W29</v>
      </c>
      <c r="E202" t="str">
        <f>VLOOKUP(D202,segédtábla!$A$2:$C$13,2)</f>
        <v>2012M07</v>
      </c>
      <c r="F202" t="str">
        <f>VLOOKUP(D202,segédtábla!$A$2:$C$13,3)</f>
        <v>2012Q3</v>
      </c>
    </row>
    <row r="203" spans="1:6" x14ac:dyDescent="0.3">
      <c r="A203" s="1">
        <v>41111</v>
      </c>
      <c r="B203" t="str">
        <f t="shared" si="9"/>
        <v>Y</v>
      </c>
      <c r="C203">
        <f t="shared" si="10"/>
        <v>29</v>
      </c>
      <c r="D203" t="str">
        <f t="shared" si="11"/>
        <v>2012W29</v>
      </c>
      <c r="E203" t="str">
        <f>VLOOKUP(D203,segédtábla!$A$2:$C$13,2)</f>
        <v>2012M07</v>
      </c>
      <c r="F203" t="str">
        <f>VLOOKUP(D203,segédtábla!$A$2:$C$13,3)</f>
        <v>2012Q3</v>
      </c>
    </row>
    <row r="204" spans="1:6" x14ac:dyDescent="0.3">
      <c r="A204" s="1">
        <v>41112</v>
      </c>
      <c r="B204" t="str">
        <f t="shared" si="9"/>
        <v>Y</v>
      </c>
      <c r="C204">
        <f t="shared" si="10"/>
        <v>29</v>
      </c>
      <c r="D204" t="str">
        <f t="shared" si="11"/>
        <v>2012W29</v>
      </c>
      <c r="E204" t="str">
        <f>VLOOKUP(D204,segédtábla!$A$2:$C$13,2)</f>
        <v>2012M07</v>
      </c>
      <c r="F204" t="str">
        <f>VLOOKUP(D204,segédtábla!$A$2:$C$13,3)</f>
        <v>2012Q3</v>
      </c>
    </row>
    <row r="205" spans="1:6" x14ac:dyDescent="0.3">
      <c r="A205" s="1">
        <v>41113</v>
      </c>
      <c r="B205" t="str">
        <f t="shared" si="9"/>
        <v>N</v>
      </c>
      <c r="C205">
        <f t="shared" si="10"/>
        <v>30</v>
      </c>
      <c r="D205" t="str">
        <f t="shared" si="11"/>
        <v>2012W30</v>
      </c>
      <c r="E205" t="str">
        <f>VLOOKUP(D205,segédtábla!$A$2:$C$13,2)</f>
        <v>2012M07</v>
      </c>
      <c r="F205" t="str">
        <f>VLOOKUP(D205,segédtábla!$A$2:$C$13,3)</f>
        <v>2012Q3</v>
      </c>
    </row>
    <row r="206" spans="1:6" x14ac:dyDescent="0.3">
      <c r="A206" s="1">
        <v>41114</v>
      </c>
      <c r="B206" t="str">
        <f t="shared" si="9"/>
        <v>N</v>
      </c>
      <c r="C206">
        <f t="shared" si="10"/>
        <v>30</v>
      </c>
      <c r="D206" t="str">
        <f t="shared" si="11"/>
        <v>2012W30</v>
      </c>
      <c r="E206" t="str">
        <f>VLOOKUP(D206,segédtábla!$A$2:$C$13,2)</f>
        <v>2012M07</v>
      </c>
      <c r="F206" t="str">
        <f>VLOOKUP(D206,segédtábla!$A$2:$C$13,3)</f>
        <v>2012Q3</v>
      </c>
    </row>
    <row r="207" spans="1:6" x14ac:dyDescent="0.3">
      <c r="A207" s="1">
        <v>41115</v>
      </c>
      <c r="B207" t="str">
        <f t="shared" si="9"/>
        <v>N</v>
      </c>
      <c r="C207">
        <f t="shared" si="10"/>
        <v>30</v>
      </c>
      <c r="D207" t="str">
        <f t="shared" si="11"/>
        <v>2012W30</v>
      </c>
      <c r="E207" t="str">
        <f>VLOOKUP(D207,segédtábla!$A$2:$C$13,2)</f>
        <v>2012M07</v>
      </c>
      <c r="F207" t="str">
        <f>VLOOKUP(D207,segédtábla!$A$2:$C$13,3)</f>
        <v>2012Q3</v>
      </c>
    </row>
    <row r="208" spans="1:6" x14ac:dyDescent="0.3">
      <c r="A208" s="1">
        <v>41116</v>
      </c>
      <c r="B208" t="str">
        <f t="shared" si="9"/>
        <v>N</v>
      </c>
      <c r="C208">
        <f t="shared" si="10"/>
        <v>30</v>
      </c>
      <c r="D208" t="str">
        <f t="shared" si="11"/>
        <v>2012W30</v>
      </c>
      <c r="E208" t="str">
        <f>VLOOKUP(D208,segédtábla!$A$2:$C$13,2)</f>
        <v>2012M07</v>
      </c>
      <c r="F208" t="str">
        <f>VLOOKUP(D208,segédtábla!$A$2:$C$13,3)</f>
        <v>2012Q3</v>
      </c>
    </row>
    <row r="209" spans="1:6" x14ac:dyDescent="0.3">
      <c r="A209" s="1">
        <v>41117</v>
      </c>
      <c r="B209" t="str">
        <f t="shared" si="9"/>
        <v>N</v>
      </c>
      <c r="C209">
        <f t="shared" si="10"/>
        <v>30</v>
      </c>
      <c r="D209" t="str">
        <f t="shared" si="11"/>
        <v>2012W30</v>
      </c>
      <c r="E209" t="str">
        <f>VLOOKUP(D209,segédtábla!$A$2:$C$13,2)</f>
        <v>2012M07</v>
      </c>
      <c r="F209" t="str">
        <f>VLOOKUP(D209,segédtábla!$A$2:$C$13,3)</f>
        <v>2012Q3</v>
      </c>
    </row>
    <row r="210" spans="1:6" x14ac:dyDescent="0.3">
      <c r="A210" s="1">
        <v>41118</v>
      </c>
      <c r="B210" t="str">
        <f t="shared" si="9"/>
        <v>Y</v>
      </c>
      <c r="C210">
        <f t="shared" si="10"/>
        <v>30</v>
      </c>
      <c r="D210" t="str">
        <f t="shared" si="11"/>
        <v>2012W30</v>
      </c>
      <c r="E210" t="str">
        <f>VLOOKUP(D210,segédtábla!$A$2:$C$13,2)</f>
        <v>2012M07</v>
      </c>
      <c r="F210" t="str">
        <f>VLOOKUP(D210,segédtábla!$A$2:$C$13,3)</f>
        <v>2012Q3</v>
      </c>
    </row>
    <row r="211" spans="1:6" x14ac:dyDescent="0.3">
      <c r="A211" s="1">
        <v>41119</v>
      </c>
      <c r="B211" t="str">
        <f t="shared" si="9"/>
        <v>Y</v>
      </c>
      <c r="C211">
        <f t="shared" si="10"/>
        <v>30</v>
      </c>
      <c r="D211" t="str">
        <f t="shared" si="11"/>
        <v>2012W30</v>
      </c>
      <c r="E211" t="str">
        <f>VLOOKUP(D211,segédtábla!$A$2:$C$13,2)</f>
        <v>2012M07</v>
      </c>
      <c r="F211" t="str">
        <f>VLOOKUP(D211,segédtábla!$A$2:$C$13,3)</f>
        <v>2012Q3</v>
      </c>
    </row>
    <row r="212" spans="1:6" x14ac:dyDescent="0.3">
      <c r="A212" s="1">
        <v>41120</v>
      </c>
      <c r="B212" t="str">
        <f t="shared" si="9"/>
        <v>N</v>
      </c>
      <c r="C212">
        <f t="shared" si="10"/>
        <v>31</v>
      </c>
      <c r="D212" t="str">
        <f t="shared" si="11"/>
        <v>2012W31</v>
      </c>
      <c r="E212" t="str">
        <f>VLOOKUP(D212,segédtábla!$A$2:$C$13,2)</f>
        <v>2012M08</v>
      </c>
      <c r="F212" t="str">
        <f>VLOOKUP(D212,segédtábla!$A$2:$C$13,3)</f>
        <v>2012Q3</v>
      </c>
    </row>
    <row r="213" spans="1:6" x14ac:dyDescent="0.3">
      <c r="A213" s="1">
        <v>41121</v>
      </c>
      <c r="B213" t="str">
        <f t="shared" si="9"/>
        <v>N</v>
      </c>
      <c r="C213">
        <f t="shared" si="10"/>
        <v>31</v>
      </c>
      <c r="D213" t="str">
        <f t="shared" si="11"/>
        <v>2012W31</v>
      </c>
      <c r="E213" t="str">
        <f>VLOOKUP(D213,segédtábla!$A$2:$C$13,2)</f>
        <v>2012M08</v>
      </c>
      <c r="F213" t="str">
        <f>VLOOKUP(D213,segédtábla!$A$2:$C$13,3)</f>
        <v>2012Q3</v>
      </c>
    </row>
    <row r="214" spans="1:6" x14ac:dyDescent="0.3">
      <c r="A214" s="1">
        <v>41122</v>
      </c>
      <c r="B214" t="str">
        <f t="shared" si="9"/>
        <v>N</v>
      </c>
      <c r="C214">
        <f t="shared" si="10"/>
        <v>31</v>
      </c>
      <c r="D214" t="str">
        <f t="shared" si="11"/>
        <v>2012W31</v>
      </c>
      <c r="E214" t="str">
        <f>VLOOKUP(D214,segédtábla!$A$2:$C$13,2)</f>
        <v>2012M08</v>
      </c>
      <c r="F214" t="str">
        <f>VLOOKUP(D214,segédtábla!$A$2:$C$13,3)</f>
        <v>2012Q3</v>
      </c>
    </row>
    <row r="215" spans="1:6" x14ac:dyDescent="0.3">
      <c r="A215" s="1">
        <v>41123</v>
      </c>
      <c r="B215" t="str">
        <f t="shared" si="9"/>
        <v>N</v>
      </c>
      <c r="C215">
        <f t="shared" si="10"/>
        <v>31</v>
      </c>
      <c r="D215" t="str">
        <f t="shared" si="11"/>
        <v>2012W31</v>
      </c>
      <c r="E215" t="str">
        <f>VLOOKUP(D215,segédtábla!$A$2:$C$13,2)</f>
        <v>2012M08</v>
      </c>
      <c r="F215" t="str">
        <f>VLOOKUP(D215,segédtábla!$A$2:$C$13,3)</f>
        <v>2012Q3</v>
      </c>
    </row>
    <row r="216" spans="1:6" x14ac:dyDescent="0.3">
      <c r="A216" s="1">
        <v>41124</v>
      </c>
      <c r="B216" t="str">
        <f t="shared" si="9"/>
        <v>N</v>
      </c>
      <c r="C216">
        <f t="shared" si="10"/>
        <v>31</v>
      </c>
      <c r="D216" t="str">
        <f t="shared" si="11"/>
        <v>2012W31</v>
      </c>
      <c r="E216" t="str">
        <f>VLOOKUP(D216,segédtábla!$A$2:$C$13,2)</f>
        <v>2012M08</v>
      </c>
      <c r="F216" t="str">
        <f>VLOOKUP(D216,segédtábla!$A$2:$C$13,3)</f>
        <v>2012Q3</v>
      </c>
    </row>
    <row r="217" spans="1:6" x14ac:dyDescent="0.3">
      <c r="A217" s="1">
        <v>41125</v>
      </c>
      <c r="B217" t="str">
        <f t="shared" si="9"/>
        <v>Y</v>
      </c>
      <c r="C217">
        <f t="shared" si="10"/>
        <v>31</v>
      </c>
      <c r="D217" t="str">
        <f t="shared" si="11"/>
        <v>2012W31</v>
      </c>
      <c r="E217" t="str">
        <f>VLOOKUP(D217,segédtábla!$A$2:$C$13,2)</f>
        <v>2012M08</v>
      </c>
      <c r="F217" t="str">
        <f>VLOOKUP(D217,segédtábla!$A$2:$C$13,3)</f>
        <v>2012Q3</v>
      </c>
    </row>
    <row r="218" spans="1:6" x14ac:dyDescent="0.3">
      <c r="A218" s="1">
        <v>41126</v>
      </c>
      <c r="B218" t="str">
        <f t="shared" si="9"/>
        <v>Y</v>
      </c>
      <c r="C218">
        <f t="shared" si="10"/>
        <v>31</v>
      </c>
      <c r="D218" t="str">
        <f t="shared" si="11"/>
        <v>2012W31</v>
      </c>
      <c r="E218" t="str">
        <f>VLOOKUP(D218,segédtábla!$A$2:$C$13,2)</f>
        <v>2012M08</v>
      </c>
      <c r="F218" t="str">
        <f>VLOOKUP(D218,segédtábla!$A$2:$C$13,3)</f>
        <v>2012Q3</v>
      </c>
    </row>
    <row r="219" spans="1:6" x14ac:dyDescent="0.3">
      <c r="A219" s="1">
        <v>41127</v>
      </c>
      <c r="B219" t="str">
        <f t="shared" si="9"/>
        <v>N</v>
      </c>
      <c r="C219">
        <f t="shared" si="10"/>
        <v>32</v>
      </c>
      <c r="D219" t="str">
        <f t="shared" si="11"/>
        <v>2012W32</v>
      </c>
      <c r="E219" t="str">
        <f>VLOOKUP(D219,segédtábla!$A$2:$C$13,2)</f>
        <v>2012M08</v>
      </c>
      <c r="F219" t="str">
        <f>VLOOKUP(D219,segédtábla!$A$2:$C$13,3)</f>
        <v>2012Q3</v>
      </c>
    </row>
    <row r="220" spans="1:6" x14ac:dyDescent="0.3">
      <c r="A220" s="1">
        <v>41128</v>
      </c>
      <c r="B220" t="str">
        <f t="shared" si="9"/>
        <v>N</v>
      </c>
      <c r="C220">
        <f t="shared" si="10"/>
        <v>32</v>
      </c>
      <c r="D220" t="str">
        <f t="shared" si="11"/>
        <v>2012W32</v>
      </c>
      <c r="E220" t="str">
        <f>VLOOKUP(D220,segédtábla!$A$2:$C$13,2)</f>
        <v>2012M08</v>
      </c>
      <c r="F220" t="str">
        <f>VLOOKUP(D220,segédtábla!$A$2:$C$13,3)</f>
        <v>2012Q3</v>
      </c>
    </row>
    <row r="221" spans="1:6" x14ac:dyDescent="0.3">
      <c r="A221" s="1">
        <v>41129</v>
      </c>
      <c r="B221" t="str">
        <f t="shared" si="9"/>
        <v>N</v>
      </c>
      <c r="C221">
        <f t="shared" si="10"/>
        <v>32</v>
      </c>
      <c r="D221" t="str">
        <f t="shared" si="11"/>
        <v>2012W32</v>
      </c>
      <c r="E221" t="str">
        <f>VLOOKUP(D221,segédtábla!$A$2:$C$13,2)</f>
        <v>2012M08</v>
      </c>
      <c r="F221" t="str">
        <f>VLOOKUP(D221,segédtábla!$A$2:$C$13,3)</f>
        <v>2012Q3</v>
      </c>
    </row>
    <row r="222" spans="1:6" x14ac:dyDescent="0.3">
      <c r="A222" s="1">
        <v>41130</v>
      </c>
      <c r="B222" t="str">
        <f t="shared" si="9"/>
        <v>N</v>
      </c>
      <c r="C222">
        <f t="shared" si="10"/>
        <v>32</v>
      </c>
      <c r="D222" t="str">
        <f t="shared" si="11"/>
        <v>2012W32</v>
      </c>
      <c r="E222" t="str">
        <f>VLOOKUP(D222,segédtábla!$A$2:$C$13,2)</f>
        <v>2012M08</v>
      </c>
      <c r="F222" t="str">
        <f>VLOOKUP(D222,segédtábla!$A$2:$C$13,3)</f>
        <v>2012Q3</v>
      </c>
    </row>
    <row r="223" spans="1:6" x14ac:dyDescent="0.3">
      <c r="A223" s="1">
        <v>41131</v>
      </c>
      <c r="B223" t="str">
        <f t="shared" si="9"/>
        <v>N</v>
      </c>
      <c r="C223">
        <f t="shared" si="10"/>
        <v>32</v>
      </c>
      <c r="D223" t="str">
        <f t="shared" si="11"/>
        <v>2012W32</v>
      </c>
      <c r="E223" t="str">
        <f>VLOOKUP(D223,segédtábla!$A$2:$C$13,2)</f>
        <v>2012M08</v>
      </c>
      <c r="F223" t="str">
        <f>VLOOKUP(D223,segédtábla!$A$2:$C$13,3)</f>
        <v>2012Q3</v>
      </c>
    </row>
    <row r="224" spans="1:6" x14ac:dyDescent="0.3">
      <c r="A224" s="1">
        <v>41132</v>
      </c>
      <c r="B224" t="str">
        <f t="shared" si="9"/>
        <v>Y</v>
      </c>
      <c r="C224">
        <f t="shared" si="10"/>
        <v>32</v>
      </c>
      <c r="D224" t="str">
        <f t="shared" si="11"/>
        <v>2012W32</v>
      </c>
      <c r="E224" t="str">
        <f>VLOOKUP(D224,segédtábla!$A$2:$C$13,2)</f>
        <v>2012M08</v>
      </c>
      <c r="F224" t="str">
        <f>VLOOKUP(D224,segédtábla!$A$2:$C$13,3)</f>
        <v>2012Q3</v>
      </c>
    </row>
    <row r="225" spans="1:6" x14ac:dyDescent="0.3">
      <c r="A225" s="1">
        <v>41133</v>
      </c>
      <c r="B225" t="str">
        <f t="shared" si="9"/>
        <v>Y</v>
      </c>
      <c r="C225">
        <f t="shared" si="10"/>
        <v>32</v>
      </c>
      <c r="D225" t="str">
        <f t="shared" si="11"/>
        <v>2012W32</v>
      </c>
      <c r="E225" t="str">
        <f>VLOOKUP(D225,segédtábla!$A$2:$C$13,2)</f>
        <v>2012M08</v>
      </c>
      <c r="F225" t="str">
        <f>VLOOKUP(D225,segédtábla!$A$2:$C$13,3)</f>
        <v>2012Q3</v>
      </c>
    </row>
    <row r="226" spans="1:6" x14ac:dyDescent="0.3">
      <c r="A226" s="1">
        <v>41134</v>
      </c>
      <c r="B226" t="str">
        <f t="shared" si="9"/>
        <v>N</v>
      </c>
      <c r="C226">
        <f t="shared" si="10"/>
        <v>33</v>
      </c>
      <c r="D226" t="str">
        <f t="shared" si="11"/>
        <v>2012W33</v>
      </c>
      <c r="E226" t="str">
        <f>VLOOKUP(D226,segédtábla!$A$2:$C$13,2)</f>
        <v>2012M08</v>
      </c>
      <c r="F226" t="str">
        <f>VLOOKUP(D226,segédtábla!$A$2:$C$13,3)</f>
        <v>2012Q3</v>
      </c>
    </row>
    <row r="227" spans="1:6" x14ac:dyDescent="0.3">
      <c r="A227" s="1">
        <v>41135</v>
      </c>
      <c r="B227" t="str">
        <f t="shared" si="9"/>
        <v>N</v>
      </c>
      <c r="C227">
        <f t="shared" si="10"/>
        <v>33</v>
      </c>
      <c r="D227" t="str">
        <f t="shared" si="11"/>
        <v>2012W33</v>
      </c>
      <c r="E227" t="str">
        <f>VLOOKUP(D227,segédtábla!$A$2:$C$13,2)</f>
        <v>2012M08</v>
      </c>
      <c r="F227" t="str">
        <f>VLOOKUP(D227,segédtábla!$A$2:$C$13,3)</f>
        <v>2012Q3</v>
      </c>
    </row>
    <row r="228" spans="1:6" x14ac:dyDescent="0.3">
      <c r="A228" s="1">
        <v>41136</v>
      </c>
      <c r="B228" t="str">
        <f t="shared" si="9"/>
        <v>N</v>
      </c>
      <c r="C228">
        <f t="shared" si="10"/>
        <v>33</v>
      </c>
      <c r="D228" t="str">
        <f t="shared" si="11"/>
        <v>2012W33</v>
      </c>
      <c r="E228" t="str">
        <f>VLOOKUP(D228,segédtábla!$A$2:$C$13,2)</f>
        <v>2012M08</v>
      </c>
      <c r="F228" t="str">
        <f>VLOOKUP(D228,segédtábla!$A$2:$C$13,3)</f>
        <v>2012Q3</v>
      </c>
    </row>
    <row r="229" spans="1:6" x14ac:dyDescent="0.3">
      <c r="A229" s="1">
        <v>41137</v>
      </c>
      <c r="B229" t="str">
        <f t="shared" si="9"/>
        <v>N</v>
      </c>
      <c r="C229">
        <f t="shared" si="10"/>
        <v>33</v>
      </c>
      <c r="D229" t="str">
        <f t="shared" si="11"/>
        <v>2012W33</v>
      </c>
      <c r="E229" t="str">
        <f>VLOOKUP(D229,segédtábla!$A$2:$C$13,2)</f>
        <v>2012M08</v>
      </c>
      <c r="F229" t="str">
        <f>VLOOKUP(D229,segédtábla!$A$2:$C$13,3)</f>
        <v>2012Q3</v>
      </c>
    </row>
    <row r="230" spans="1:6" x14ac:dyDescent="0.3">
      <c r="A230" s="1">
        <v>41138</v>
      </c>
      <c r="B230" t="str">
        <f t="shared" si="9"/>
        <v>N</v>
      </c>
      <c r="C230">
        <f t="shared" si="10"/>
        <v>33</v>
      </c>
      <c r="D230" t="str">
        <f t="shared" si="11"/>
        <v>2012W33</v>
      </c>
      <c r="E230" t="str">
        <f>VLOOKUP(D230,segédtábla!$A$2:$C$13,2)</f>
        <v>2012M08</v>
      </c>
      <c r="F230" t="str">
        <f>VLOOKUP(D230,segédtábla!$A$2:$C$13,3)</f>
        <v>2012Q3</v>
      </c>
    </row>
    <row r="231" spans="1:6" x14ac:dyDescent="0.3">
      <c r="A231" s="1">
        <v>41139</v>
      </c>
      <c r="B231" t="str">
        <f t="shared" si="9"/>
        <v>Y</v>
      </c>
      <c r="C231">
        <f t="shared" si="10"/>
        <v>33</v>
      </c>
      <c r="D231" t="str">
        <f t="shared" si="11"/>
        <v>2012W33</v>
      </c>
      <c r="E231" t="str">
        <f>VLOOKUP(D231,segédtábla!$A$2:$C$13,2)</f>
        <v>2012M08</v>
      </c>
      <c r="F231" t="str">
        <f>VLOOKUP(D231,segédtábla!$A$2:$C$13,3)</f>
        <v>2012Q3</v>
      </c>
    </row>
    <row r="232" spans="1:6" x14ac:dyDescent="0.3">
      <c r="A232" s="1">
        <v>41140</v>
      </c>
      <c r="B232" t="str">
        <f t="shared" si="9"/>
        <v>Y</v>
      </c>
      <c r="C232">
        <f t="shared" si="10"/>
        <v>33</v>
      </c>
      <c r="D232" t="str">
        <f t="shared" si="11"/>
        <v>2012W33</v>
      </c>
      <c r="E232" t="str">
        <f>VLOOKUP(D232,segédtábla!$A$2:$C$13,2)</f>
        <v>2012M08</v>
      </c>
      <c r="F232" t="str">
        <f>VLOOKUP(D232,segédtábla!$A$2:$C$13,3)</f>
        <v>2012Q3</v>
      </c>
    </row>
    <row r="233" spans="1:6" x14ac:dyDescent="0.3">
      <c r="A233" s="1">
        <v>41141</v>
      </c>
      <c r="B233" t="str">
        <f t="shared" si="9"/>
        <v>N</v>
      </c>
      <c r="C233">
        <f t="shared" si="10"/>
        <v>34</v>
      </c>
      <c r="D233" t="str">
        <f t="shared" si="11"/>
        <v>2012W34</v>
      </c>
      <c r="E233" t="str">
        <f>VLOOKUP(D233,segédtábla!$A$2:$C$13,2)</f>
        <v>2012M08</v>
      </c>
      <c r="F233" t="str">
        <f>VLOOKUP(D233,segédtábla!$A$2:$C$13,3)</f>
        <v>2012Q3</v>
      </c>
    </row>
    <row r="234" spans="1:6" x14ac:dyDescent="0.3">
      <c r="A234" s="1">
        <v>41142</v>
      </c>
      <c r="B234" t="str">
        <f t="shared" si="9"/>
        <v>N</v>
      </c>
      <c r="C234">
        <f t="shared" si="10"/>
        <v>34</v>
      </c>
      <c r="D234" t="str">
        <f t="shared" si="11"/>
        <v>2012W34</v>
      </c>
      <c r="E234" t="str">
        <f>VLOOKUP(D234,segédtábla!$A$2:$C$13,2)</f>
        <v>2012M08</v>
      </c>
      <c r="F234" t="str">
        <f>VLOOKUP(D234,segédtábla!$A$2:$C$13,3)</f>
        <v>2012Q3</v>
      </c>
    </row>
    <row r="235" spans="1:6" x14ac:dyDescent="0.3">
      <c r="A235" s="1">
        <v>41143</v>
      </c>
      <c r="B235" t="str">
        <f t="shared" si="9"/>
        <v>N</v>
      </c>
      <c r="C235">
        <f t="shared" si="10"/>
        <v>34</v>
      </c>
      <c r="D235" t="str">
        <f t="shared" si="11"/>
        <v>2012W34</v>
      </c>
      <c r="E235" t="str">
        <f>VLOOKUP(D235,segédtábla!$A$2:$C$13,2)</f>
        <v>2012M08</v>
      </c>
      <c r="F235" t="str">
        <f>VLOOKUP(D235,segédtábla!$A$2:$C$13,3)</f>
        <v>2012Q3</v>
      </c>
    </row>
    <row r="236" spans="1:6" x14ac:dyDescent="0.3">
      <c r="A236" s="1">
        <v>41144</v>
      </c>
      <c r="B236" t="str">
        <f t="shared" si="9"/>
        <v>N</v>
      </c>
      <c r="C236">
        <f t="shared" si="10"/>
        <v>34</v>
      </c>
      <c r="D236" t="str">
        <f t="shared" si="11"/>
        <v>2012W34</v>
      </c>
      <c r="E236" t="str">
        <f>VLOOKUP(D236,segédtábla!$A$2:$C$13,2)</f>
        <v>2012M08</v>
      </c>
      <c r="F236" t="str">
        <f>VLOOKUP(D236,segédtábla!$A$2:$C$13,3)</f>
        <v>2012Q3</v>
      </c>
    </row>
    <row r="237" spans="1:6" x14ac:dyDescent="0.3">
      <c r="A237" s="1">
        <v>41145</v>
      </c>
      <c r="B237" t="str">
        <f t="shared" si="9"/>
        <v>N</v>
      </c>
      <c r="C237">
        <f t="shared" si="10"/>
        <v>34</v>
      </c>
      <c r="D237" t="str">
        <f t="shared" si="11"/>
        <v>2012W34</v>
      </c>
      <c r="E237" t="str">
        <f>VLOOKUP(D237,segédtábla!$A$2:$C$13,2)</f>
        <v>2012M08</v>
      </c>
      <c r="F237" t="str">
        <f>VLOOKUP(D237,segédtábla!$A$2:$C$13,3)</f>
        <v>2012Q3</v>
      </c>
    </row>
    <row r="238" spans="1:6" x14ac:dyDescent="0.3">
      <c r="A238" s="1">
        <v>41146</v>
      </c>
      <c r="B238" t="str">
        <f t="shared" si="9"/>
        <v>Y</v>
      </c>
      <c r="C238">
        <f t="shared" si="10"/>
        <v>34</v>
      </c>
      <c r="D238" t="str">
        <f t="shared" si="11"/>
        <v>2012W34</v>
      </c>
      <c r="E238" t="str">
        <f>VLOOKUP(D238,segédtábla!$A$2:$C$13,2)</f>
        <v>2012M08</v>
      </c>
      <c r="F238" t="str">
        <f>VLOOKUP(D238,segédtábla!$A$2:$C$13,3)</f>
        <v>2012Q3</v>
      </c>
    </row>
    <row r="239" spans="1:6" x14ac:dyDescent="0.3">
      <c r="A239" s="1">
        <v>41147</v>
      </c>
      <c r="B239" t="str">
        <f t="shared" si="9"/>
        <v>Y</v>
      </c>
      <c r="C239">
        <f t="shared" si="10"/>
        <v>34</v>
      </c>
      <c r="D239" t="str">
        <f t="shared" si="11"/>
        <v>2012W34</v>
      </c>
      <c r="E239" t="str">
        <f>VLOOKUP(D239,segédtábla!$A$2:$C$13,2)</f>
        <v>2012M08</v>
      </c>
      <c r="F239" t="str">
        <f>VLOOKUP(D239,segédtábla!$A$2:$C$13,3)</f>
        <v>2012Q3</v>
      </c>
    </row>
    <row r="240" spans="1:6" x14ac:dyDescent="0.3">
      <c r="A240" s="1">
        <v>41148</v>
      </c>
      <c r="B240" t="str">
        <f t="shared" si="9"/>
        <v>N</v>
      </c>
      <c r="C240">
        <f t="shared" si="10"/>
        <v>35</v>
      </c>
      <c r="D240" t="str">
        <f t="shared" si="11"/>
        <v>2012W35</v>
      </c>
      <c r="E240" t="str">
        <f>VLOOKUP(D240,segédtábla!$A$2:$C$13,2)</f>
        <v>2012M08</v>
      </c>
      <c r="F240" t="str">
        <f>VLOOKUP(D240,segédtábla!$A$2:$C$13,3)</f>
        <v>2012Q3</v>
      </c>
    </row>
    <row r="241" spans="1:6" x14ac:dyDescent="0.3">
      <c r="A241" s="1">
        <v>41149</v>
      </c>
      <c r="B241" t="str">
        <f t="shared" si="9"/>
        <v>N</v>
      </c>
      <c r="C241">
        <f t="shared" si="10"/>
        <v>35</v>
      </c>
      <c r="D241" t="str">
        <f t="shared" si="11"/>
        <v>2012W35</v>
      </c>
      <c r="E241" t="str">
        <f>VLOOKUP(D241,segédtábla!$A$2:$C$13,2)</f>
        <v>2012M08</v>
      </c>
      <c r="F241" t="str">
        <f>VLOOKUP(D241,segédtábla!$A$2:$C$13,3)</f>
        <v>2012Q3</v>
      </c>
    </row>
    <row r="242" spans="1:6" x14ac:dyDescent="0.3">
      <c r="A242" s="1">
        <v>41150</v>
      </c>
      <c r="B242" t="str">
        <f t="shared" si="9"/>
        <v>N</v>
      </c>
      <c r="C242">
        <f t="shared" si="10"/>
        <v>35</v>
      </c>
      <c r="D242" t="str">
        <f t="shared" si="11"/>
        <v>2012W35</v>
      </c>
      <c r="E242" t="str">
        <f>VLOOKUP(D242,segédtábla!$A$2:$C$13,2)</f>
        <v>2012M08</v>
      </c>
      <c r="F242" t="str">
        <f>VLOOKUP(D242,segédtábla!$A$2:$C$13,3)</f>
        <v>2012Q3</v>
      </c>
    </row>
    <row r="243" spans="1:6" x14ac:dyDescent="0.3">
      <c r="A243" s="1">
        <v>41151</v>
      </c>
      <c r="B243" t="str">
        <f t="shared" si="9"/>
        <v>N</v>
      </c>
      <c r="C243">
        <f t="shared" si="10"/>
        <v>35</v>
      </c>
      <c r="D243" t="str">
        <f t="shared" si="11"/>
        <v>2012W35</v>
      </c>
      <c r="E243" t="str">
        <f>VLOOKUP(D243,segédtábla!$A$2:$C$13,2)</f>
        <v>2012M08</v>
      </c>
      <c r="F243" t="str">
        <f>VLOOKUP(D243,segédtábla!$A$2:$C$13,3)</f>
        <v>2012Q3</v>
      </c>
    </row>
    <row r="244" spans="1:6" x14ac:dyDescent="0.3">
      <c r="A244" s="1">
        <v>41152</v>
      </c>
      <c r="B244" t="str">
        <f t="shared" si="9"/>
        <v>N</v>
      </c>
      <c r="C244">
        <f t="shared" si="10"/>
        <v>35</v>
      </c>
      <c r="D244" t="str">
        <f t="shared" si="11"/>
        <v>2012W35</v>
      </c>
      <c r="E244" t="str">
        <f>VLOOKUP(D244,segédtábla!$A$2:$C$13,2)</f>
        <v>2012M08</v>
      </c>
      <c r="F244" t="str">
        <f>VLOOKUP(D244,segédtábla!$A$2:$C$13,3)</f>
        <v>2012Q3</v>
      </c>
    </row>
    <row r="245" spans="1:6" x14ac:dyDescent="0.3">
      <c r="A245" s="1">
        <v>41153</v>
      </c>
      <c r="B245" t="str">
        <f t="shared" si="9"/>
        <v>Y</v>
      </c>
      <c r="C245">
        <f t="shared" si="10"/>
        <v>35</v>
      </c>
      <c r="D245" t="str">
        <f t="shared" si="11"/>
        <v>2012W35</v>
      </c>
      <c r="E245" t="str">
        <f>VLOOKUP(D245,segédtábla!$A$2:$C$13,2)</f>
        <v>2012M08</v>
      </c>
      <c r="F245" t="str">
        <f>VLOOKUP(D245,segédtábla!$A$2:$C$13,3)</f>
        <v>2012Q3</v>
      </c>
    </row>
    <row r="246" spans="1:6" x14ac:dyDescent="0.3">
      <c r="A246" s="1">
        <v>41154</v>
      </c>
      <c r="B246" t="str">
        <f t="shared" si="9"/>
        <v>Y</v>
      </c>
      <c r="C246">
        <f t="shared" si="10"/>
        <v>35</v>
      </c>
      <c r="D246" t="str">
        <f t="shared" si="11"/>
        <v>2012W35</v>
      </c>
      <c r="E246" t="str">
        <f>VLOOKUP(D246,segédtábla!$A$2:$C$13,2)</f>
        <v>2012M08</v>
      </c>
      <c r="F246" t="str">
        <f>VLOOKUP(D246,segédtábla!$A$2:$C$13,3)</f>
        <v>2012Q3</v>
      </c>
    </row>
    <row r="247" spans="1:6" x14ac:dyDescent="0.3">
      <c r="A247" s="1">
        <v>41155</v>
      </c>
      <c r="B247" t="str">
        <f t="shared" si="9"/>
        <v>N</v>
      </c>
      <c r="C247">
        <f t="shared" si="10"/>
        <v>36</v>
      </c>
      <c r="D247" t="str">
        <f t="shared" si="11"/>
        <v>2012W36</v>
      </c>
      <c r="E247" t="str">
        <f>VLOOKUP(D247,segédtábla!$A$2:$C$13,2)</f>
        <v>2012M09</v>
      </c>
      <c r="F247" t="str">
        <f>VLOOKUP(D247,segédtábla!$A$2:$C$13,3)</f>
        <v>2012Q3</v>
      </c>
    </row>
    <row r="248" spans="1:6" x14ac:dyDescent="0.3">
      <c r="A248" s="1">
        <v>41156</v>
      </c>
      <c r="B248" t="str">
        <f t="shared" si="9"/>
        <v>N</v>
      </c>
      <c r="C248">
        <f t="shared" si="10"/>
        <v>36</v>
      </c>
      <c r="D248" t="str">
        <f t="shared" si="11"/>
        <v>2012W36</v>
      </c>
      <c r="E248" t="str">
        <f>VLOOKUP(D248,segédtábla!$A$2:$C$13,2)</f>
        <v>2012M09</v>
      </c>
      <c r="F248" t="str">
        <f>VLOOKUP(D248,segédtábla!$A$2:$C$13,3)</f>
        <v>2012Q3</v>
      </c>
    </row>
    <row r="249" spans="1:6" x14ac:dyDescent="0.3">
      <c r="A249" s="1">
        <v>41157</v>
      </c>
      <c r="B249" t="str">
        <f t="shared" si="9"/>
        <v>N</v>
      </c>
      <c r="C249">
        <f t="shared" si="10"/>
        <v>36</v>
      </c>
      <c r="D249" t="str">
        <f t="shared" si="11"/>
        <v>2012W36</v>
      </c>
      <c r="E249" t="str">
        <f>VLOOKUP(D249,segédtábla!$A$2:$C$13,2)</f>
        <v>2012M09</v>
      </c>
      <c r="F249" t="str">
        <f>VLOOKUP(D249,segédtábla!$A$2:$C$13,3)</f>
        <v>2012Q3</v>
      </c>
    </row>
    <row r="250" spans="1:6" x14ac:dyDescent="0.3">
      <c r="A250" s="1">
        <v>41158</v>
      </c>
      <c r="B250" t="str">
        <f t="shared" si="9"/>
        <v>N</v>
      </c>
      <c r="C250">
        <f t="shared" si="10"/>
        <v>36</v>
      </c>
      <c r="D250" t="str">
        <f t="shared" si="11"/>
        <v>2012W36</v>
      </c>
      <c r="E250" t="str">
        <f>VLOOKUP(D250,segédtábla!$A$2:$C$13,2)</f>
        <v>2012M09</v>
      </c>
      <c r="F250" t="str">
        <f>VLOOKUP(D250,segédtábla!$A$2:$C$13,3)</f>
        <v>2012Q3</v>
      </c>
    </row>
    <row r="251" spans="1:6" x14ac:dyDescent="0.3">
      <c r="A251" s="1">
        <v>41159</v>
      </c>
      <c r="B251" t="str">
        <f t="shared" si="9"/>
        <v>N</v>
      </c>
      <c r="C251">
        <f t="shared" si="10"/>
        <v>36</v>
      </c>
      <c r="D251" t="str">
        <f t="shared" si="11"/>
        <v>2012W36</v>
      </c>
      <c r="E251" t="str">
        <f>VLOOKUP(D251,segédtábla!$A$2:$C$13,2)</f>
        <v>2012M09</v>
      </c>
      <c r="F251" t="str">
        <f>VLOOKUP(D251,segédtábla!$A$2:$C$13,3)</f>
        <v>2012Q3</v>
      </c>
    </row>
    <row r="252" spans="1:6" x14ac:dyDescent="0.3">
      <c r="A252" s="1">
        <v>41160</v>
      </c>
      <c r="B252" t="str">
        <f t="shared" si="9"/>
        <v>Y</v>
      </c>
      <c r="C252">
        <f t="shared" si="10"/>
        <v>36</v>
      </c>
      <c r="D252" t="str">
        <f t="shared" si="11"/>
        <v>2012W36</v>
      </c>
      <c r="E252" t="str">
        <f>VLOOKUP(D252,segédtábla!$A$2:$C$13,2)</f>
        <v>2012M09</v>
      </c>
      <c r="F252" t="str">
        <f>VLOOKUP(D252,segédtábla!$A$2:$C$13,3)</f>
        <v>2012Q3</v>
      </c>
    </row>
    <row r="253" spans="1:6" x14ac:dyDescent="0.3">
      <c r="A253" s="1">
        <v>41161</v>
      </c>
      <c r="B253" t="str">
        <f t="shared" si="9"/>
        <v>Y</v>
      </c>
      <c r="C253">
        <f t="shared" si="10"/>
        <v>36</v>
      </c>
      <c r="D253" t="str">
        <f t="shared" si="11"/>
        <v>2012W36</v>
      </c>
      <c r="E253" t="str">
        <f>VLOOKUP(D253,segédtábla!$A$2:$C$13,2)</f>
        <v>2012M09</v>
      </c>
      <c r="F253" t="str">
        <f>VLOOKUP(D253,segédtábla!$A$2:$C$13,3)</f>
        <v>2012Q3</v>
      </c>
    </row>
    <row r="254" spans="1:6" x14ac:dyDescent="0.3">
      <c r="A254" s="1">
        <v>41162</v>
      </c>
      <c r="B254" t="str">
        <f t="shared" si="9"/>
        <v>N</v>
      </c>
      <c r="C254">
        <f t="shared" si="10"/>
        <v>37</v>
      </c>
      <c r="D254" t="str">
        <f t="shared" si="11"/>
        <v>2012W37</v>
      </c>
      <c r="E254" t="str">
        <f>VLOOKUP(D254,segédtábla!$A$2:$C$13,2)</f>
        <v>2012M09</v>
      </c>
      <c r="F254" t="str">
        <f>VLOOKUP(D254,segédtábla!$A$2:$C$13,3)</f>
        <v>2012Q3</v>
      </c>
    </row>
    <row r="255" spans="1:6" x14ac:dyDescent="0.3">
      <c r="A255" s="1">
        <v>41163</v>
      </c>
      <c r="B255" t="str">
        <f t="shared" si="9"/>
        <v>N</v>
      </c>
      <c r="C255">
        <f t="shared" si="10"/>
        <v>37</v>
      </c>
      <c r="D255" t="str">
        <f t="shared" si="11"/>
        <v>2012W37</v>
      </c>
      <c r="E255" t="str">
        <f>VLOOKUP(D255,segédtábla!$A$2:$C$13,2)</f>
        <v>2012M09</v>
      </c>
      <c r="F255" t="str">
        <f>VLOOKUP(D255,segédtábla!$A$2:$C$13,3)</f>
        <v>2012Q3</v>
      </c>
    </row>
    <row r="256" spans="1:6" x14ac:dyDescent="0.3">
      <c r="A256" s="1">
        <v>41164</v>
      </c>
      <c r="B256" t="str">
        <f t="shared" si="9"/>
        <v>N</v>
      </c>
      <c r="C256">
        <f t="shared" si="10"/>
        <v>37</v>
      </c>
      <c r="D256" t="str">
        <f t="shared" si="11"/>
        <v>2012W37</v>
      </c>
      <c r="E256" t="str">
        <f>VLOOKUP(D256,segédtábla!$A$2:$C$13,2)</f>
        <v>2012M09</v>
      </c>
      <c r="F256" t="str">
        <f>VLOOKUP(D256,segédtábla!$A$2:$C$13,3)</f>
        <v>2012Q3</v>
      </c>
    </row>
    <row r="257" spans="1:6" x14ac:dyDescent="0.3">
      <c r="A257" s="1">
        <v>41165</v>
      </c>
      <c r="B257" t="str">
        <f t="shared" si="9"/>
        <v>N</v>
      </c>
      <c r="C257">
        <f t="shared" si="10"/>
        <v>37</v>
      </c>
      <c r="D257" t="str">
        <f t="shared" si="11"/>
        <v>2012W37</v>
      </c>
      <c r="E257" t="str">
        <f>VLOOKUP(D257,segédtábla!$A$2:$C$13,2)</f>
        <v>2012M09</v>
      </c>
      <c r="F257" t="str">
        <f>VLOOKUP(D257,segédtábla!$A$2:$C$13,3)</f>
        <v>2012Q3</v>
      </c>
    </row>
    <row r="258" spans="1:6" x14ac:dyDescent="0.3">
      <c r="A258" s="1">
        <v>41166</v>
      </c>
      <c r="B258" t="str">
        <f t="shared" si="9"/>
        <v>N</v>
      </c>
      <c r="C258">
        <f t="shared" si="10"/>
        <v>37</v>
      </c>
      <c r="D258" t="str">
        <f t="shared" si="11"/>
        <v>2012W37</v>
      </c>
      <c r="E258" t="str">
        <f>VLOOKUP(D258,segédtábla!$A$2:$C$13,2)</f>
        <v>2012M09</v>
      </c>
      <c r="F258" t="str">
        <f>VLOOKUP(D258,segédtábla!$A$2:$C$13,3)</f>
        <v>2012Q3</v>
      </c>
    </row>
    <row r="259" spans="1:6" x14ac:dyDescent="0.3">
      <c r="A259" s="1">
        <v>41167</v>
      </c>
      <c r="B259" t="str">
        <f t="shared" ref="B259:B322" si="12">IF(WEEKDAY(A259,2)&gt;5,"Y","N")</f>
        <v>Y</v>
      </c>
      <c r="C259">
        <f t="shared" ref="C259:C322" si="13">_xlfn.ISOWEEKNUM(A259)</f>
        <v>37</v>
      </c>
      <c r="D259" t="str">
        <f t="shared" ref="D259:D322" si="14">YEAR(A259)&amp;"W"&amp;IF(C259&lt;10,0&amp;C259,C259)</f>
        <v>2012W37</v>
      </c>
      <c r="E259" t="str">
        <f>VLOOKUP(D259,segédtábla!$A$2:$C$13,2)</f>
        <v>2012M09</v>
      </c>
      <c r="F259" t="str">
        <f>VLOOKUP(D259,segédtábla!$A$2:$C$13,3)</f>
        <v>2012Q3</v>
      </c>
    </row>
    <row r="260" spans="1:6" x14ac:dyDescent="0.3">
      <c r="A260" s="1">
        <v>41168</v>
      </c>
      <c r="B260" t="str">
        <f t="shared" si="12"/>
        <v>Y</v>
      </c>
      <c r="C260">
        <f t="shared" si="13"/>
        <v>37</v>
      </c>
      <c r="D260" t="str">
        <f t="shared" si="14"/>
        <v>2012W37</v>
      </c>
      <c r="E260" t="str">
        <f>VLOOKUP(D260,segédtábla!$A$2:$C$13,2)</f>
        <v>2012M09</v>
      </c>
      <c r="F260" t="str">
        <f>VLOOKUP(D260,segédtábla!$A$2:$C$13,3)</f>
        <v>2012Q3</v>
      </c>
    </row>
    <row r="261" spans="1:6" x14ac:dyDescent="0.3">
      <c r="A261" s="1">
        <v>41169</v>
      </c>
      <c r="B261" t="str">
        <f t="shared" si="12"/>
        <v>N</v>
      </c>
      <c r="C261">
        <f t="shared" si="13"/>
        <v>38</v>
      </c>
      <c r="D261" t="str">
        <f t="shared" si="14"/>
        <v>2012W38</v>
      </c>
      <c r="E261" t="str">
        <f>VLOOKUP(D261,segédtábla!$A$2:$C$13,2)</f>
        <v>2012M09</v>
      </c>
      <c r="F261" t="str">
        <f>VLOOKUP(D261,segédtábla!$A$2:$C$13,3)</f>
        <v>2012Q3</v>
      </c>
    </row>
    <row r="262" spans="1:6" x14ac:dyDescent="0.3">
      <c r="A262" s="1">
        <v>41170</v>
      </c>
      <c r="B262" t="str">
        <f t="shared" si="12"/>
        <v>N</v>
      </c>
      <c r="C262">
        <f t="shared" si="13"/>
        <v>38</v>
      </c>
      <c r="D262" t="str">
        <f t="shared" si="14"/>
        <v>2012W38</v>
      </c>
      <c r="E262" t="str">
        <f>VLOOKUP(D262,segédtábla!$A$2:$C$13,2)</f>
        <v>2012M09</v>
      </c>
      <c r="F262" t="str">
        <f>VLOOKUP(D262,segédtábla!$A$2:$C$13,3)</f>
        <v>2012Q3</v>
      </c>
    </row>
    <row r="263" spans="1:6" x14ac:dyDescent="0.3">
      <c r="A263" s="1">
        <v>41171</v>
      </c>
      <c r="B263" t="str">
        <f t="shared" si="12"/>
        <v>N</v>
      </c>
      <c r="C263">
        <f t="shared" si="13"/>
        <v>38</v>
      </c>
      <c r="D263" t="str">
        <f t="shared" si="14"/>
        <v>2012W38</v>
      </c>
      <c r="E263" t="str">
        <f>VLOOKUP(D263,segédtábla!$A$2:$C$13,2)</f>
        <v>2012M09</v>
      </c>
      <c r="F263" t="str">
        <f>VLOOKUP(D263,segédtábla!$A$2:$C$13,3)</f>
        <v>2012Q3</v>
      </c>
    </row>
    <row r="264" spans="1:6" x14ac:dyDescent="0.3">
      <c r="A264" s="1">
        <v>41172</v>
      </c>
      <c r="B264" t="str">
        <f t="shared" si="12"/>
        <v>N</v>
      </c>
      <c r="C264">
        <f t="shared" si="13"/>
        <v>38</v>
      </c>
      <c r="D264" t="str">
        <f t="shared" si="14"/>
        <v>2012W38</v>
      </c>
      <c r="E264" t="str">
        <f>VLOOKUP(D264,segédtábla!$A$2:$C$13,2)</f>
        <v>2012M09</v>
      </c>
      <c r="F264" t="str">
        <f>VLOOKUP(D264,segédtábla!$A$2:$C$13,3)</f>
        <v>2012Q3</v>
      </c>
    </row>
    <row r="265" spans="1:6" x14ac:dyDescent="0.3">
      <c r="A265" s="1">
        <v>41173</v>
      </c>
      <c r="B265" t="str">
        <f t="shared" si="12"/>
        <v>N</v>
      </c>
      <c r="C265">
        <f t="shared" si="13"/>
        <v>38</v>
      </c>
      <c r="D265" t="str">
        <f t="shared" si="14"/>
        <v>2012W38</v>
      </c>
      <c r="E265" t="str">
        <f>VLOOKUP(D265,segédtábla!$A$2:$C$13,2)</f>
        <v>2012M09</v>
      </c>
      <c r="F265" t="str">
        <f>VLOOKUP(D265,segédtábla!$A$2:$C$13,3)</f>
        <v>2012Q3</v>
      </c>
    </row>
    <row r="266" spans="1:6" x14ac:dyDescent="0.3">
      <c r="A266" s="1">
        <v>41174</v>
      </c>
      <c r="B266" t="str">
        <f t="shared" si="12"/>
        <v>Y</v>
      </c>
      <c r="C266">
        <f t="shared" si="13"/>
        <v>38</v>
      </c>
      <c r="D266" t="str">
        <f t="shared" si="14"/>
        <v>2012W38</v>
      </c>
      <c r="E266" t="str">
        <f>VLOOKUP(D266,segédtábla!$A$2:$C$13,2)</f>
        <v>2012M09</v>
      </c>
      <c r="F266" t="str">
        <f>VLOOKUP(D266,segédtábla!$A$2:$C$13,3)</f>
        <v>2012Q3</v>
      </c>
    </row>
    <row r="267" spans="1:6" x14ac:dyDescent="0.3">
      <c r="A267" s="1">
        <v>41175</v>
      </c>
      <c r="B267" t="str">
        <f t="shared" si="12"/>
        <v>Y</v>
      </c>
      <c r="C267">
        <f t="shared" si="13"/>
        <v>38</v>
      </c>
      <c r="D267" t="str">
        <f t="shared" si="14"/>
        <v>2012W38</v>
      </c>
      <c r="E267" t="str">
        <f>VLOOKUP(D267,segédtábla!$A$2:$C$13,2)</f>
        <v>2012M09</v>
      </c>
      <c r="F267" t="str">
        <f>VLOOKUP(D267,segédtábla!$A$2:$C$13,3)</f>
        <v>2012Q3</v>
      </c>
    </row>
    <row r="268" spans="1:6" x14ac:dyDescent="0.3">
      <c r="A268" s="1">
        <v>41176</v>
      </c>
      <c r="B268" t="str">
        <f t="shared" si="12"/>
        <v>N</v>
      </c>
      <c r="C268">
        <f t="shared" si="13"/>
        <v>39</v>
      </c>
      <c r="D268" t="str">
        <f t="shared" si="14"/>
        <v>2012W39</v>
      </c>
      <c r="E268" t="str">
        <f>VLOOKUP(D268,segédtábla!$A$2:$C$13,2)</f>
        <v>2012M09</v>
      </c>
      <c r="F268" t="str">
        <f>VLOOKUP(D268,segédtábla!$A$2:$C$13,3)</f>
        <v>2012Q3</v>
      </c>
    </row>
    <row r="269" spans="1:6" x14ac:dyDescent="0.3">
      <c r="A269" s="1">
        <v>41177</v>
      </c>
      <c r="B269" t="str">
        <f t="shared" si="12"/>
        <v>N</v>
      </c>
      <c r="C269">
        <f t="shared" si="13"/>
        <v>39</v>
      </c>
      <c r="D269" t="str">
        <f t="shared" si="14"/>
        <v>2012W39</v>
      </c>
      <c r="E269" t="str">
        <f>VLOOKUP(D269,segédtábla!$A$2:$C$13,2)</f>
        <v>2012M09</v>
      </c>
      <c r="F269" t="str">
        <f>VLOOKUP(D269,segédtábla!$A$2:$C$13,3)</f>
        <v>2012Q3</v>
      </c>
    </row>
    <row r="270" spans="1:6" x14ac:dyDescent="0.3">
      <c r="A270" s="1">
        <v>41178</v>
      </c>
      <c r="B270" t="str">
        <f t="shared" si="12"/>
        <v>N</v>
      </c>
      <c r="C270">
        <f t="shared" si="13"/>
        <v>39</v>
      </c>
      <c r="D270" t="str">
        <f t="shared" si="14"/>
        <v>2012W39</v>
      </c>
      <c r="E270" t="str">
        <f>VLOOKUP(D270,segédtábla!$A$2:$C$13,2)</f>
        <v>2012M09</v>
      </c>
      <c r="F270" t="str">
        <f>VLOOKUP(D270,segédtábla!$A$2:$C$13,3)</f>
        <v>2012Q3</v>
      </c>
    </row>
    <row r="271" spans="1:6" x14ac:dyDescent="0.3">
      <c r="A271" s="1">
        <v>41179</v>
      </c>
      <c r="B271" t="str">
        <f t="shared" si="12"/>
        <v>N</v>
      </c>
      <c r="C271">
        <f t="shared" si="13"/>
        <v>39</v>
      </c>
      <c r="D271" t="str">
        <f t="shared" si="14"/>
        <v>2012W39</v>
      </c>
      <c r="E271" t="str">
        <f>VLOOKUP(D271,segédtábla!$A$2:$C$13,2)</f>
        <v>2012M09</v>
      </c>
      <c r="F271" t="str">
        <f>VLOOKUP(D271,segédtábla!$A$2:$C$13,3)</f>
        <v>2012Q3</v>
      </c>
    </row>
    <row r="272" spans="1:6" x14ac:dyDescent="0.3">
      <c r="A272" s="1">
        <v>41180</v>
      </c>
      <c r="B272" t="str">
        <f t="shared" si="12"/>
        <v>N</v>
      </c>
      <c r="C272">
        <f t="shared" si="13"/>
        <v>39</v>
      </c>
      <c r="D272" t="str">
        <f t="shared" si="14"/>
        <v>2012W39</v>
      </c>
      <c r="E272" t="str">
        <f>VLOOKUP(D272,segédtábla!$A$2:$C$13,2)</f>
        <v>2012M09</v>
      </c>
      <c r="F272" t="str">
        <f>VLOOKUP(D272,segédtábla!$A$2:$C$13,3)</f>
        <v>2012Q3</v>
      </c>
    </row>
    <row r="273" spans="1:6" x14ac:dyDescent="0.3">
      <c r="A273" s="1">
        <v>41181</v>
      </c>
      <c r="B273" t="str">
        <f t="shared" si="12"/>
        <v>Y</v>
      </c>
      <c r="C273">
        <f t="shared" si="13"/>
        <v>39</v>
      </c>
      <c r="D273" t="str">
        <f t="shared" si="14"/>
        <v>2012W39</v>
      </c>
      <c r="E273" t="str">
        <f>VLOOKUP(D273,segédtábla!$A$2:$C$13,2)</f>
        <v>2012M09</v>
      </c>
      <c r="F273" t="str">
        <f>VLOOKUP(D273,segédtábla!$A$2:$C$13,3)</f>
        <v>2012Q3</v>
      </c>
    </row>
    <row r="274" spans="1:6" x14ac:dyDescent="0.3">
      <c r="A274" s="1">
        <v>41182</v>
      </c>
      <c r="B274" t="str">
        <f t="shared" si="12"/>
        <v>Y</v>
      </c>
      <c r="C274">
        <f t="shared" si="13"/>
        <v>39</v>
      </c>
      <c r="D274" t="str">
        <f t="shared" si="14"/>
        <v>2012W39</v>
      </c>
      <c r="E274" t="str">
        <f>VLOOKUP(D274,segédtábla!$A$2:$C$13,2)</f>
        <v>2012M09</v>
      </c>
      <c r="F274" t="str">
        <f>VLOOKUP(D274,segédtábla!$A$2:$C$13,3)</f>
        <v>2012Q3</v>
      </c>
    </row>
    <row r="275" spans="1:6" x14ac:dyDescent="0.3">
      <c r="A275" s="1">
        <v>41183</v>
      </c>
      <c r="B275" t="str">
        <f t="shared" si="12"/>
        <v>N</v>
      </c>
      <c r="C275">
        <f t="shared" si="13"/>
        <v>40</v>
      </c>
      <c r="D275" t="str">
        <f t="shared" si="14"/>
        <v>2012W40</v>
      </c>
      <c r="E275" t="str">
        <f>VLOOKUP(D275,segédtábla!$A$2:$C$13,2)</f>
        <v>2012M10</v>
      </c>
      <c r="F275" t="str">
        <f>VLOOKUP(D275,segédtábla!$A$2:$C$13,3)</f>
        <v>2012Q4</v>
      </c>
    </row>
    <row r="276" spans="1:6" x14ac:dyDescent="0.3">
      <c r="A276" s="1">
        <v>41184</v>
      </c>
      <c r="B276" t="str">
        <f t="shared" si="12"/>
        <v>N</v>
      </c>
      <c r="C276">
        <f t="shared" si="13"/>
        <v>40</v>
      </c>
      <c r="D276" t="str">
        <f t="shared" si="14"/>
        <v>2012W40</v>
      </c>
      <c r="E276" t="str">
        <f>VLOOKUP(D276,segédtábla!$A$2:$C$13,2)</f>
        <v>2012M10</v>
      </c>
      <c r="F276" t="str">
        <f>VLOOKUP(D276,segédtábla!$A$2:$C$13,3)</f>
        <v>2012Q4</v>
      </c>
    </row>
    <row r="277" spans="1:6" x14ac:dyDescent="0.3">
      <c r="A277" s="1">
        <v>41185</v>
      </c>
      <c r="B277" t="str">
        <f t="shared" si="12"/>
        <v>N</v>
      </c>
      <c r="C277">
        <f t="shared" si="13"/>
        <v>40</v>
      </c>
      <c r="D277" t="str">
        <f t="shared" si="14"/>
        <v>2012W40</v>
      </c>
      <c r="E277" t="str">
        <f>VLOOKUP(D277,segédtábla!$A$2:$C$13,2)</f>
        <v>2012M10</v>
      </c>
      <c r="F277" t="str">
        <f>VLOOKUP(D277,segédtábla!$A$2:$C$13,3)</f>
        <v>2012Q4</v>
      </c>
    </row>
    <row r="278" spans="1:6" x14ac:dyDescent="0.3">
      <c r="A278" s="1">
        <v>41186</v>
      </c>
      <c r="B278" t="str">
        <f t="shared" si="12"/>
        <v>N</v>
      </c>
      <c r="C278">
        <f t="shared" si="13"/>
        <v>40</v>
      </c>
      <c r="D278" t="str">
        <f t="shared" si="14"/>
        <v>2012W40</v>
      </c>
      <c r="E278" t="str">
        <f>VLOOKUP(D278,segédtábla!$A$2:$C$13,2)</f>
        <v>2012M10</v>
      </c>
      <c r="F278" t="str">
        <f>VLOOKUP(D278,segédtábla!$A$2:$C$13,3)</f>
        <v>2012Q4</v>
      </c>
    </row>
    <row r="279" spans="1:6" x14ac:dyDescent="0.3">
      <c r="A279" s="1">
        <v>41187</v>
      </c>
      <c r="B279" t="str">
        <f t="shared" si="12"/>
        <v>N</v>
      </c>
      <c r="C279">
        <f t="shared" si="13"/>
        <v>40</v>
      </c>
      <c r="D279" t="str">
        <f t="shared" si="14"/>
        <v>2012W40</v>
      </c>
      <c r="E279" t="str">
        <f>VLOOKUP(D279,segédtábla!$A$2:$C$13,2)</f>
        <v>2012M10</v>
      </c>
      <c r="F279" t="str">
        <f>VLOOKUP(D279,segédtábla!$A$2:$C$13,3)</f>
        <v>2012Q4</v>
      </c>
    </row>
    <row r="280" spans="1:6" x14ac:dyDescent="0.3">
      <c r="A280" s="1">
        <v>41188</v>
      </c>
      <c r="B280" t="str">
        <f t="shared" si="12"/>
        <v>Y</v>
      </c>
      <c r="C280">
        <f t="shared" si="13"/>
        <v>40</v>
      </c>
      <c r="D280" t="str">
        <f t="shared" si="14"/>
        <v>2012W40</v>
      </c>
      <c r="E280" t="str">
        <f>VLOOKUP(D280,segédtábla!$A$2:$C$13,2)</f>
        <v>2012M10</v>
      </c>
      <c r="F280" t="str">
        <f>VLOOKUP(D280,segédtábla!$A$2:$C$13,3)</f>
        <v>2012Q4</v>
      </c>
    </row>
    <row r="281" spans="1:6" x14ac:dyDescent="0.3">
      <c r="A281" s="1">
        <v>41189</v>
      </c>
      <c r="B281" t="str">
        <f t="shared" si="12"/>
        <v>Y</v>
      </c>
      <c r="C281">
        <f t="shared" si="13"/>
        <v>40</v>
      </c>
      <c r="D281" t="str">
        <f t="shared" si="14"/>
        <v>2012W40</v>
      </c>
      <c r="E281" t="str">
        <f>VLOOKUP(D281,segédtábla!$A$2:$C$13,2)</f>
        <v>2012M10</v>
      </c>
      <c r="F281" t="str">
        <f>VLOOKUP(D281,segédtábla!$A$2:$C$13,3)</f>
        <v>2012Q4</v>
      </c>
    </row>
    <row r="282" spans="1:6" x14ac:dyDescent="0.3">
      <c r="A282" s="1">
        <v>41190</v>
      </c>
      <c r="B282" t="str">
        <f t="shared" si="12"/>
        <v>N</v>
      </c>
      <c r="C282">
        <f t="shared" si="13"/>
        <v>41</v>
      </c>
      <c r="D282" t="str">
        <f t="shared" si="14"/>
        <v>2012W41</v>
      </c>
      <c r="E282" t="str">
        <f>VLOOKUP(D282,segédtábla!$A$2:$C$13,2)</f>
        <v>2012M10</v>
      </c>
      <c r="F282" t="str">
        <f>VLOOKUP(D282,segédtábla!$A$2:$C$13,3)</f>
        <v>2012Q4</v>
      </c>
    </row>
    <row r="283" spans="1:6" x14ac:dyDescent="0.3">
      <c r="A283" s="1">
        <v>41191</v>
      </c>
      <c r="B283" t="str">
        <f t="shared" si="12"/>
        <v>N</v>
      </c>
      <c r="C283">
        <f t="shared" si="13"/>
        <v>41</v>
      </c>
      <c r="D283" t="str">
        <f t="shared" si="14"/>
        <v>2012W41</v>
      </c>
      <c r="E283" t="str">
        <f>VLOOKUP(D283,segédtábla!$A$2:$C$13,2)</f>
        <v>2012M10</v>
      </c>
      <c r="F283" t="str">
        <f>VLOOKUP(D283,segédtábla!$A$2:$C$13,3)</f>
        <v>2012Q4</v>
      </c>
    </row>
    <row r="284" spans="1:6" x14ac:dyDescent="0.3">
      <c r="A284" s="1">
        <v>41192</v>
      </c>
      <c r="B284" t="str">
        <f t="shared" si="12"/>
        <v>N</v>
      </c>
      <c r="C284">
        <f t="shared" si="13"/>
        <v>41</v>
      </c>
      <c r="D284" t="str">
        <f t="shared" si="14"/>
        <v>2012W41</v>
      </c>
      <c r="E284" t="str">
        <f>VLOOKUP(D284,segédtábla!$A$2:$C$13,2)</f>
        <v>2012M10</v>
      </c>
      <c r="F284" t="str">
        <f>VLOOKUP(D284,segédtábla!$A$2:$C$13,3)</f>
        <v>2012Q4</v>
      </c>
    </row>
    <row r="285" spans="1:6" x14ac:dyDescent="0.3">
      <c r="A285" s="1">
        <v>41193</v>
      </c>
      <c r="B285" t="str">
        <f t="shared" si="12"/>
        <v>N</v>
      </c>
      <c r="C285">
        <f t="shared" si="13"/>
        <v>41</v>
      </c>
      <c r="D285" t="str">
        <f t="shared" si="14"/>
        <v>2012W41</v>
      </c>
      <c r="E285" t="str">
        <f>VLOOKUP(D285,segédtábla!$A$2:$C$13,2)</f>
        <v>2012M10</v>
      </c>
      <c r="F285" t="str">
        <f>VLOOKUP(D285,segédtábla!$A$2:$C$13,3)</f>
        <v>2012Q4</v>
      </c>
    </row>
    <row r="286" spans="1:6" x14ac:dyDescent="0.3">
      <c r="A286" s="1">
        <v>41194</v>
      </c>
      <c r="B286" t="str">
        <f t="shared" si="12"/>
        <v>N</v>
      </c>
      <c r="C286">
        <f t="shared" si="13"/>
        <v>41</v>
      </c>
      <c r="D286" t="str">
        <f t="shared" si="14"/>
        <v>2012W41</v>
      </c>
      <c r="E286" t="str">
        <f>VLOOKUP(D286,segédtábla!$A$2:$C$13,2)</f>
        <v>2012M10</v>
      </c>
      <c r="F286" t="str">
        <f>VLOOKUP(D286,segédtábla!$A$2:$C$13,3)</f>
        <v>2012Q4</v>
      </c>
    </row>
    <row r="287" spans="1:6" x14ac:dyDescent="0.3">
      <c r="A287" s="1">
        <v>41195</v>
      </c>
      <c r="B287" t="str">
        <f t="shared" si="12"/>
        <v>Y</v>
      </c>
      <c r="C287">
        <f t="shared" si="13"/>
        <v>41</v>
      </c>
      <c r="D287" t="str">
        <f t="shared" si="14"/>
        <v>2012W41</v>
      </c>
      <c r="E287" t="str">
        <f>VLOOKUP(D287,segédtábla!$A$2:$C$13,2)</f>
        <v>2012M10</v>
      </c>
      <c r="F287" t="str">
        <f>VLOOKUP(D287,segédtábla!$A$2:$C$13,3)</f>
        <v>2012Q4</v>
      </c>
    </row>
    <row r="288" spans="1:6" x14ac:dyDescent="0.3">
      <c r="A288" s="1">
        <v>41196</v>
      </c>
      <c r="B288" t="str">
        <f t="shared" si="12"/>
        <v>Y</v>
      </c>
      <c r="C288">
        <f t="shared" si="13"/>
        <v>41</v>
      </c>
      <c r="D288" t="str">
        <f t="shared" si="14"/>
        <v>2012W41</v>
      </c>
      <c r="E288" t="str">
        <f>VLOOKUP(D288,segédtábla!$A$2:$C$13,2)</f>
        <v>2012M10</v>
      </c>
      <c r="F288" t="str">
        <f>VLOOKUP(D288,segédtábla!$A$2:$C$13,3)</f>
        <v>2012Q4</v>
      </c>
    </row>
    <row r="289" spans="1:6" x14ac:dyDescent="0.3">
      <c r="A289" s="1">
        <v>41197</v>
      </c>
      <c r="B289" t="str">
        <f t="shared" si="12"/>
        <v>N</v>
      </c>
      <c r="C289">
        <f t="shared" si="13"/>
        <v>42</v>
      </c>
      <c r="D289" t="str">
        <f t="shared" si="14"/>
        <v>2012W42</v>
      </c>
      <c r="E289" t="str">
        <f>VLOOKUP(D289,segédtábla!$A$2:$C$13,2)</f>
        <v>2012M10</v>
      </c>
      <c r="F289" t="str">
        <f>VLOOKUP(D289,segédtábla!$A$2:$C$13,3)</f>
        <v>2012Q4</v>
      </c>
    </row>
    <row r="290" spans="1:6" x14ac:dyDescent="0.3">
      <c r="A290" s="1">
        <v>41198</v>
      </c>
      <c r="B290" t="str">
        <f t="shared" si="12"/>
        <v>N</v>
      </c>
      <c r="C290">
        <f t="shared" si="13"/>
        <v>42</v>
      </c>
      <c r="D290" t="str">
        <f t="shared" si="14"/>
        <v>2012W42</v>
      </c>
      <c r="E290" t="str">
        <f>VLOOKUP(D290,segédtábla!$A$2:$C$13,2)</f>
        <v>2012M10</v>
      </c>
      <c r="F290" t="str">
        <f>VLOOKUP(D290,segédtábla!$A$2:$C$13,3)</f>
        <v>2012Q4</v>
      </c>
    </row>
    <row r="291" spans="1:6" x14ac:dyDescent="0.3">
      <c r="A291" s="1">
        <v>41199</v>
      </c>
      <c r="B291" t="str">
        <f t="shared" si="12"/>
        <v>N</v>
      </c>
      <c r="C291">
        <f t="shared" si="13"/>
        <v>42</v>
      </c>
      <c r="D291" t="str">
        <f t="shared" si="14"/>
        <v>2012W42</v>
      </c>
      <c r="E291" t="str">
        <f>VLOOKUP(D291,segédtábla!$A$2:$C$13,2)</f>
        <v>2012M10</v>
      </c>
      <c r="F291" t="str">
        <f>VLOOKUP(D291,segédtábla!$A$2:$C$13,3)</f>
        <v>2012Q4</v>
      </c>
    </row>
    <row r="292" spans="1:6" x14ac:dyDescent="0.3">
      <c r="A292" s="1">
        <v>41200</v>
      </c>
      <c r="B292" t="str">
        <f t="shared" si="12"/>
        <v>N</v>
      </c>
      <c r="C292">
        <f t="shared" si="13"/>
        <v>42</v>
      </c>
      <c r="D292" t="str">
        <f t="shared" si="14"/>
        <v>2012W42</v>
      </c>
      <c r="E292" t="str">
        <f>VLOOKUP(D292,segédtábla!$A$2:$C$13,2)</f>
        <v>2012M10</v>
      </c>
      <c r="F292" t="str">
        <f>VLOOKUP(D292,segédtábla!$A$2:$C$13,3)</f>
        <v>2012Q4</v>
      </c>
    </row>
    <row r="293" spans="1:6" x14ac:dyDescent="0.3">
      <c r="A293" s="1">
        <v>41201</v>
      </c>
      <c r="B293" t="str">
        <f t="shared" si="12"/>
        <v>N</v>
      </c>
      <c r="C293">
        <f t="shared" si="13"/>
        <v>42</v>
      </c>
      <c r="D293" t="str">
        <f t="shared" si="14"/>
        <v>2012W42</v>
      </c>
      <c r="E293" t="str">
        <f>VLOOKUP(D293,segédtábla!$A$2:$C$13,2)</f>
        <v>2012M10</v>
      </c>
      <c r="F293" t="str">
        <f>VLOOKUP(D293,segédtábla!$A$2:$C$13,3)</f>
        <v>2012Q4</v>
      </c>
    </row>
    <row r="294" spans="1:6" x14ac:dyDescent="0.3">
      <c r="A294" s="1">
        <v>41202</v>
      </c>
      <c r="B294" t="str">
        <f t="shared" si="12"/>
        <v>Y</v>
      </c>
      <c r="C294">
        <f t="shared" si="13"/>
        <v>42</v>
      </c>
      <c r="D294" t="str">
        <f t="shared" si="14"/>
        <v>2012W42</v>
      </c>
      <c r="E294" t="str">
        <f>VLOOKUP(D294,segédtábla!$A$2:$C$13,2)</f>
        <v>2012M10</v>
      </c>
      <c r="F294" t="str">
        <f>VLOOKUP(D294,segédtábla!$A$2:$C$13,3)</f>
        <v>2012Q4</v>
      </c>
    </row>
    <row r="295" spans="1:6" x14ac:dyDescent="0.3">
      <c r="A295" s="1">
        <v>41203</v>
      </c>
      <c r="B295" t="str">
        <f t="shared" si="12"/>
        <v>Y</v>
      </c>
      <c r="C295">
        <f t="shared" si="13"/>
        <v>42</v>
      </c>
      <c r="D295" t="str">
        <f t="shared" si="14"/>
        <v>2012W42</v>
      </c>
      <c r="E295" t="str">
        <f>VLOOKUP(D295,segédtábla!$A$2:$C$13,2)</f>
        <v>2012M10</v>
      </c>
      <c r="F295" t="str">
        <f>VLOOKUP(D295,segédtábla!$A$2:$C$13,3)</f>
        <v>2012Q4</v>
      </c>
    </row>
    <row r="296" spans="1:6" x14ac:dyDescent="0.3">
      <c r="A296" s="1">
        <v>41204</v>
      </c>
      <c r="B296" t="str">
        <f t="shared" si="12"/>
        <v>N</v>
      </c>
      <c r="C296">
        <f t="shared" si="13"/>
        <v>43</v>
      </c>
      <c r="D296" t="str">
        <f t="shared" si="14"/>
        <v>2012W43</v>
      </c>
      <c r="E296" t="str">
        <f>VLOOKUP(D296,segédtábla!$A$2:$C$13,2)</f>
        <v>2012M10</v>
      </c>
      <c r="F296" t="str">
        <f>VLOOKUP(D296,segédtábla!$A$2:$C$13,3)</f>
        <v>2012Q4</v>
      </c>
    </row>
    <row r="297" spans="1:6" x14ac:dyDescent="0.3">
      <c r="A297" s="1">
        <v>41205</v>
      </c>
      <c r="B297" t="str">
        <f t="shared" si="12"/>
        <v>N</v>
      </c>
      <c r="C297">
        <f t="shared" si="13"/>
        <v>43</v>
      </c>
      <c r="D297" t="str">
        <f t="shared" si="14"/>
        <v>2012W43</v>
      </c>
      <c r="E297" t="str">
        <f>VLOOKUP(D297,segédtábla!$A$2:$C$13,2)</f>
        <v>2012M10</v>
      </c>
      <c r="F297" t="str">
        <f>VLOOKUP(D297,segédtábla!$A$2:$C$13,3)</f>
        <v>2012Q4</v>
      </c>
    </row>
    <row r="298" spans="1:6" x14ac:dyDescent="0.3">
      <c r="A298" s="1">
        <v>41206</v>
      </c>
      <c r="B298" t="str">
        <f t="shared" si="12"/>
        <v>N</v>
      </c>
      <c r="C298">
        <f t="shared" si="13"/>
        <v>43</v>
      </c>
      <c r="D298" t="str">
        <f t="shared" si="14"/>
        <v>2012W43</v>
      </c>
      <c r="E298" t="str">
        <f>VLOOKUP(D298,segédtábla!$A$2:$C$13,2)</f>
        <v>2012M10</v>
      </c>
      <c r="F298" t="str">
        <f>VLOOKUP(D298,segédtábla!$A$2:$C$13,3)</f>
        <v>2012Q4</v>
      </c>
    </row>
    <row r="299" spans="1:6" x14ac:dyDescent="0.3">
      <c r="A299" s="1">
        <v>41207</v>
      </c>
      <c r="B299" t="str">
        <f t="shared" si="12"/>
        <v>N</v>
      </c>
      <c r="C299">
        <f t="shared" si="13"/>
        <v>43</v>
      </c>
      <c r="D299" t="str">
        <f t="shared" si="14"/>
        <v>2012W43</v>
      </c>
      <c r="E299" t="str">
        <f>VLOOKUP(D299,segédtábla!$A$2:$C$13,2)</f>
        <v>2012M10</v>
      </c>
      <c r="F299" t="str">
        <f>VLOOKUP(D299,segédtábla!$A$2:$C$13,3)</f>
        <v>2012Q4</v>
      </c>
    </row>
    <row r="300" spans="1:6" x14ac:dyDescent="0.3">
      <c r="A300" s="1">
        <v>41208</v>
      </c>
      <c r="B300" t="str">
        <f t="shared" si="12"/>
        <v>N</v>
      </c>
      <c r="C300">
        <f t="shared" si="13"/>
        <v>43</v>
      </c>
      <c r="D300" t="str">
        <f t="shared" si="14"/>
        <v>2012W43</v>
      </c>
      <c r="E300" t="str">
        <f>VLOOKUP(D300,segédtábla!$A$2:$C$13,2)</f>
        <v>2012M10</v>
      </c>
      <c r="F300" t="str">
        <f>VLOOKUP(D300,segédtábla!$A$2:$C$13,3)</f>
        <v>2012Q4</v>
      </c>
    </row>
    <row r="301" spans="1:6" x14ac:dyDescent="0.3">
      <c r="A301" s="1">
        <v>41209</v>
      </c>
      <c r="B301" t="str">
        <f t="shared" si="12"/>
        <v>Y</v>
      </c>
      <c r="C301">
        <f t="shared" si="13"/>
        <v>43</v>
      </c>
      <c r="D301" t="str">
        <f t="shared" si="14"/>
        <v>2012W43</v>
      </c>
      <c r="E301" t="str">
        <f>VLOOKUP(D301,segédtábla!$A$2:$C$13,2)</f>
        <v>2012M10</v>
      </c>
      <c r="F301" t="str">
        <f>VLOOKUP(D301,segédtábla!$A$2:$C$13,3)</f>
        <v>2012Q4</v>
      </c>
    </row>
    <row r="302" spans="1:6" x14ac:dyDescent="0.3">
      <c r="A302" s="1">
        <v>41210</v>
      </c>
      <c r="B302" t="str">
        <f t="shared" si="12"/>
        <v>Y</v>
      </c>
      <c r="C302">
        <f t="shared" si="13"/>
        <v>43</v>
      </c>
      <c r="D302" t="str">
        <f t="shared" si="14"/>
        <v>2012W43</v>
      </c>
      <c r="E302" t="str">
        <f>VLOOKUP(D302,segédtábla!$A$2:$C$13,2)</f>
        <v>2012M10</v>
      </c>
      <c r="F302" t="str">
        <f>VLOOKUP(D302,segédtábla!$A$2:$C$13,3)</f>
        <v>2012Q4</v>
      </c>
    </row>
    <row r="303" spans="1:6" x14ac:dyDescent="0.3">
      <c r="A303" s="1">
        <v>41211</v>
      </c>
      <c r="B303" t="str">
        <f t="shared" si="12"/>
        <v>N</v>
      </c>
      <c r="C303">
        <f t="shared" si="13"/>
        <v>44</v>
      </c>
      <c r="D303" t="str">
        <f t="shared" si="14"/>
        <v>2012W44</v>
      </c>
      <c r="E303" t="str">
        <f>VLOOKUP(D303,segédtábla!$A$2:$C$13,2)</f>
        <v>2012M11</v>
      </c>
      <c r="F303" t="str">
        <f>VLOOKUP(D303,segédtábla!$A$2:$C$13,3)</f>
        <v>2012Q4</v>
      </c>
    </row>
    <row r="304" spans="1:6" x14ac:dyDescent="0.3">
      <c r="A304" s="1">
        <v>41212</v>
      </c>
      <c r="B304" t="str">
        <f t="shared" si="12"/>
        <v>N</v>
      </c>
      <c r="C304">
        <f t="shared" si="13"/>
        <v>44</v>
      </c>
      <c r="D304" t="str">
        <f t="shared" si="14"/>
        <v>2012W44</v>
      </c>
      <c r="E304" t="str">
        <f>VLOOKUP(D304,segédtábla!$A$2:$C$13,2)</f>
        <v>2012M11</v>
      </c>
      <c r="F304" t="str">
        <f>VLOOKUP(D304,segédtábla!$A$2:$C$13,3)</f>
        <v>2012Q4</v>
      </c>
    </row>
    <row r="305" spans="1:6" x14ac:dyDescent="0.3">
      <c r="A305" s="1">
        <v>41213</v>
      </c>
      <c r="B305" t="str">
        <f t="shared" si="12"/>
        <v>N</v>
      </c>
      <c r="C305">
        <f t="shared" si="13"/>
        <v>44</v>
      </c>
      <c r="D305" t="str">
        <f t="shared" si="14"/>
        <v>2012W44</v>
      </c>
      <c r="E305" t="str">
        <f>VLOOKUP(D305,segédtábla!$A$2:$C$13,2)</f>
        <v>2012M11</v>
      </c>
      <c r="F305" t="str">
        <f>VLOOKUP(D305,segédtábla!$A$2:$C$13,3)</f>
        <v>2012Q4</v>
      </c>
    </row>
    <row r="306" spans="1:6" x14ac:dyDescent="0.3">
      <c r="A306" s="1">
        <v>41214</v>
      </c>
      <c r="B306" t="str">
        <f t="shared" si="12"/>
        <v>N</v>
      </c>
      <c r="C306">
        <f t="shared" si="13"/>
        <v>44</v>
      </c>
      <c r="D306" t="str">
        <f t="shared" si="14"/>
        <v>2012W44</v>
      </c>
      <c r="E306" t="str">
        <f>VLOOKUP(D306,segédtábla!$A$2:$C$13,2)</f>
        <v>2012M11</v>
      </c>
      <c r="F306" t="str">
        <f>VLOOKUP(D306,segédtábla!$A$2:$C$13,3)</f>
        <v>2012Q4</v>
      </c>
    </row>
    <row r="307" spans="1:6" x14ac:dyDescent="0.3">
      <c r="A307" s="1">
        <v>41215</v>
      </c>
      <c r="B307" t="str">
        <f t="shared" si="12"/>
        <v>N</v>
      </c>
      <c r="C307">
        <f t="shared" si="13"/>
        <v>44</v>
      </c>
      <c r="D307" t="str">
        <f t="shared" si="14"/>
        <v>2012W44</v>
      </c>
      <c r="E307" t="str">
        <f>VLOOKUP(D307,segédtábla!$A$2:$C$13,2)</f>
        <v>2012M11</v>
      </c>
      <c r="F307" t="str">
        <f>VLOOKUP(D307,segédtábla!$A$2:$C$13,3)</f>
        <v>2012Q4</v>
      </c>
    </row>
    <row r="308" spans="1:6" x14ac:dyDescent="0.3">
      <c r="A308" s="1">
        <v>41216</v>
      </c>
      <c r="B308" t="str">
        <f t="shared" si="12"/>
        <v>Y</v>
      </c>
      <c r="C308">
        <f t="shared" si="13"/>
        <v>44</v>
      </c>
      <c r="D308" t="str">
        <f t="shared" si="14"/>
        <v>2012W44</v>
      </c>
      <c r="E308" t="str">
        <f>VLOOKUP(D308,segédtábla!$A$2:$C$13,2)</f>
        <v>2012M11</v>
      </c>
      <c r="F308" t="str">
        <f>VLOOKUP(D308,segédtábla!$A$2:$C$13,3)</f>
        <v>2012Q4</v>
      </c>
    </row>
    <row r="309" spans="1:6" x14ac:dyDescent="0.3">
      <c r="A309" s="1">
        <v>41217</v>
      </c>
      <c r="B309" t="str">
        <f t="shared" si="12"/>
        <v>Y</v>
      </c>
      <c r="C309">
        <f t="shared" si="13"/>
        <v>44</v>
      </c>
      <c r="D309" t="str">
        <f t="shared" si="14"/>
        <v>2012W44</v>
      </c>
      <c r="E309" t="str">
        <f>VLOOKUP(D309,segédtábla!$A$2:$C$13,2)</f>
        <v>2012M11</v>
      </c>
      <c r="F309" t="str">
        <f>VLOOKUP(D309,segédtábla!$A$2:$C$13,3)</f>
        <v>2012Q4</v>
      </c>
    </row>
    <row r="310" spans="1:6" x14ac:dyDescent="0.3">
      <c r="A310" s="1">
        <v>41218</v>
      </c>
      <c r="B310" t="str">
        <f t="shared" si="12"/>
        <v>N</v>
      </c>
      <c r="C310">
        <f t="shared" si="13"/>
        <v>45</v>
      </c>
      <c r="D310" t="str">
        <f t="shared" si="14"/>
        <v>2012W45</v>
      </c>
      <c r="E310" t="str">
        <f>VLOOKUP(D310,segédtábla!$A$2:$C$13,2)</f>
        <v>2012M11</v>
      </c>
      <c r="F310" t="str">
        <f>VLOOKUP(D310,segédtábla!$A$2:$C$13,3)</f>
        <v>2012Q4</v>
      </c>
    </row>
    <row r="311" spans="1:6" x14ac:dyDescent="0.3">
      <c r="A311" s="1">
        <v>41219</v>
      </c>
      <c r="B311" t="str">
        <f t="shared" si="12"/>
        <v>N</v>
      </c>
      <c r="C311">
        <f t="shared" si="13"/>
        <v>45</v>
      </c>
      <c r="D311" t="str">
        <f t="shared" si="14"/>
        <v>2012W45</v>
      </c>
      <c r="E311" t="str">
        <f>VLOOKUP(D311,segédtábla!$A$2:$C$13,2)</f>
        <v>2012M11</v>
      </c>
      <c r="F311" t="str">
        <f>VLOOKUP(D311,segédtábla!$A$2:$C$13,3)</f>
        <v>2012Q4</v>
      </c>
    </row>
    <row r="312" spans="1:6" x14ac:dyDescent="0.3">
      <c r="A312" s="1">
        <v>41220</v>
      </c>
      <c r="B312" t="str">
        <f t="shared" si="12"/>
        <v>N</v>
      </c>
      <c r="C312">
        <f t="shared" si="13"/>
        <v>45</v>
      </c>
      <c r="D312" t="str">
        <f t="shared" si="14"/>
        <v>2012W45</v>
      </c>
      <c r="E312" t="str">
        <f>VLOOKUP(D312,segédtábla!$A$2:$C$13,2)</f>
        <v>2012M11</v>
      </c>
      <c r="F312" t="str">
        <f>VLOOKUP(D312,segédtábla!$A$2:$C$13,3)</f>
        <v>2012Q4</v>
      </c>
    </row>
    <row r="313" spans="1:6" x14ac:dyDescent="0.3">
      <c r="A313" s="1">
        <v>41221</v>
      </c>
      <c r="B313" t="str">
        <f t="shared" si="12"/>
        <v>N</v>
      </c>
      <c r="C313">
        <f t="shared" si="13"/>
        <v>45</v>
      </c>
      <c r="D313" t="str">
        <f t="shared" si="14"/>
        <v>2012W45</v>
      </c>
      <c r="E313" t="str">
        <f>VLOOKUP(D313,segédtábla!$A$2:$C$13,2)</f>
        <v>2012M11</v>
      </c>
      <c r="F313" t="str">
        <f>VLOOKUP(D313,segédtábla!$A$2:$C$13,3)</f>
        <v>2012Q4</v>
      </c>
    </row>
    <row r="314" spans="1:6" x14ac:dyDescent="0.3">
      <c r="A314" s="1">
        <v>41222</v>
      </c>
      <c r="B314" t="str">
        <f t="shared" si="12"/>
        <v>N</v>
      </c>
      <c r="C314">
        <f t="shared" si="13"/>
        <v>45</v>
      </c>
      <c r="D314" t="str">
        <f t="shared" si="14"/>
        <v>2012W45</v>
      </c>
      <c r="E314" t="str">
        <f>VLOOKUP(D314,segédtábla!$A$2:$C$13,2)</f>
        <v>2012M11</v>
      </c>
      <c r="F314" t="str">
        <f>VLOOKUP(D314,segédtábla!$A$2:$C$13,3)</f>
        <v>2012Q4</v>
      </c>
    </row>
    <row r="315" spans="1:6" x14ac:dyDescent="0.3">
      <c r="A315" s="1">
        <v>41223</v>
      </c>
      <c r="B315" t="str">
        <f t="shared" si="12"/>
        <v>Y</v>
      </c>
      <c r="C315">
        <f t="shared" si="13"/>
        <v>45</v>
      </c>
      <c r="D315" t="str">
        <f t="shared" si="14"/>
        <v>2012W45</v>
      </c>
      <c r="E315" t="str">
        <f>VLOOKUP(D315,segédtábla!$A$2:$C$13,2)</f>
        <v>2012M11</v>
      </c>
      <c r="F315" t="str">
        <f>VLOOKUP(D315,segédtábla!$A$2:$C$13,3)</f>
        <v>2012Q4</v>
      </c>
    </row>
    <row r="316" spans="1:6" x14ac:dyDescent="0.3">
      <c r="A316" s="1">
        <v>41224</v>
      </c>
      <c r="B316" t="str">
        <f t="shared" si="12"/>
        <v>Y</v>
      </c>
      <c r="C316">
        <f t="shared" si="13"/>
        <v>45</v>
      </c>
      <c r="D316" t="str">
        <f t="shared" si="14"/>
        <v>2012W45</v>
      </c>
      <c r="E316" t="str">
        <f>VLOOKUP(D316,segédtábla!$A$2:$C$13,2)</f>
        <v>2012M11</v>
      </c>
      <c r="F316" t="str">
        <f>VLOOKUP(D316,segédtábla!$A$2:$C$13,3)</f>
        <v>2012Q4</v>
      </c>
    </row>
    <row r="317" spans="1:6" x14ac:dyDescent="0.3">
      <c r="A317" s="1">
        <v>41225</v>
      </c>
      <c r="B317" t="str">
        <f t="shared" si="12"/>
        <v>N</v>
      </c>
      <c r="C317">
        <f t="shared" si="13"/>
        <v>46</v>
      </c>
      <c r="D317" t="str">
        <f t="shared" si="14"/>
        <v>2012W46</v>
      </c>
      <c r="E317" t="str">
        <f>VLOOKUP(D317,segédtábla!$A$2:$C$13,2)</f>
        <v>2012M11</v>
      </c>
      <c r="F317" t="str">
        <f>VLOOKUP(D317,segédtábla!$A$2:$C$13,3)</f>
        <v>2012Q4</v>
      </c>
    </row>
    <row r="318" spans="1:6" x14ac:dyDescent="0.3">
      <c r="A318" s="1">
        <v>41226</v>
      </c>
      <c r="B318" t="str">
        <f t="shared" si="12"/>
        <v>N</v>
      </c>
      <c r="C318">
        <f t="shared" si="13"/>
        <v>46</v>
      </c>
      <c r="D318" t="str">
        <f t="shared" si="14"/>
        <v>2012W46</v>
      </c>
      <c r="E318" t="str">
        <f>VLOOKUP(D318,segédtábla!$A$2:$C$13,2)</f>
        <v>2012M11</v>
      </c>
      <c r="F318" t="str">
        <f>VLOOKUP(D318,segédtábla!$A$2:$C$13,3)</f>
        <v>2012Q4</v>
      </c>
    </row>
    <row r="319" spans="1:6" x14ac:dyDescent="0.3">
      <c r="A319" s="1">
        <v>41227</v>
      </c>
      <c r="B319" t="str">
        <f t="shared" si="12"/>
        <v>N</v>
      </c>
      <c r="C319">
        <f t="shared" si="13"/>
        <v>46</v>
      </c>
      <c r="D319" t="str">
        <f t="shared" si="14"/>
        <v>2012W46</v>
      </c>
      <c r="E319" t="str">
        <f>VLOOKUP(D319,segédtábla!$A$2:$C$13,2)</f>
        <v>2012M11</v>
      </c>
      <c r="F319" t="str">
        <f>VLOOKUP(D319,segédtábla!$A$2:$C$13,3)</f>
        <v>2012Q4</v>
      </c>
    </row>
    <row r="320" spans="1:6" x14ac:dyDescent="0.3">
      <c r="A320" s="1">
        <v>41228</v>
      </c>
      <c r="B320" t="str">
        <f t="shared" si="12"/>
        <v>N</v>
      </c>
      <c r="C320">
        <f t="shared" si="13"/>
        <v>46</v>
      </c>
      <c r="D320" t="str">
        <f t="shared" si="14"/>
        <v>2012W46</v>
      </c>
      <c r="E320" t="str">
        <f>VLOOKUP(D320,segédtábla!$A$2:$C$13,2)</f>
        <v>2012M11</v>
      </c>
      <c r="F320" t="str">
        <f>VLOOKUP(D320,segédtábla!$A$2:$C$13,3)</f>
        <v>2012Q4</v>
      </c>
    </row>
    <row r="321" spans="1:6" x14ac:dyDescent="0.3">
      <c r="A321" s="1">
        <v>41229</v>
      </c>
      <c r="B321" t="str">
        <f t="shared" si="12"/>
        <v>N</v>
      </c>
      <c r="C321">
        <f t="shared" si="13"/>
        <v>46</v>
      </c>
      <c r="D321" t="str">
        <f t="shared" si="14"/>
        <v>2012W46</v>
      </c>
      <c r="E321" t="str">
        <f>VLOOKUP(D321,segédtábla!$A$2:$C$13,2)</f>
        <v>2012M11</v>
      </c>
      <c r="F321" t="str">
        <f>VLOOKUP(D321,segédtábla!$A$2:$C$13,3)</f>
        <v>2012Q4</v>
      </c>
    </row>
    <row r="322" spans="1:6" x14ac:dyDescent="0.3">
      <c r="A322" s="1">
        <v>41230</v>
      </c>
      <c r="B322" t="str">
        <f t="shared" si="12"/>
        <v>Y</v>
      </c>
      <c r="C322">
        <f t="shared" si="13"/>
        <v>46</v>
      </c>
      <c r="D322" t="str">
        <f t="shared" si="14"/>
        <v>2012W46</v>
      </c>
      <c r="E322" t="str">
        <f>VLOOKUP(D322,segédtábla!$A$2:$C$13,2)</f>
        <v>2012M11</v>
      </c>
      <c r="F322" t="str">
        <f>VLOOKUP(D322,segédtábla!$A$2:$C$13,3)</f>
        <v>2012Q4</v>
      </c>
    </row>
    <row r="323" spans="1:6" x14ac:dyDescent="0.3">
      <c r="A323" s="1">
        <v>41231</v>
      </c>
      <c r="B323" t="str">
        <f t="shared" ref="B323:B365" si="15">IF(WEEKDAY(A323,2)&gt;5,"Y","N")</f>
        <v>Y</v>
      </c>
      <c r="C323">
        <f t="shared" ref="C323:C365" si="16">_xlfn.ISOWEEKNUM(A323)</f>
        <v>46</v>
      </c>
      <c r="D323" t="str">
        <f t="shared" ref="D323:D365" si="17">YEAR(A323)&amp;"W"&amp;IF(C323&lt;10,0&amp;C323,C323)</f>
        <v>2012W46</v>
      </c>
      <c r="E323" t="str">
        <f>VLOOKUP(D323,segédtábla!$A$2:$C$13,2)</f>
        <v>2012M11</v>
      </c>
      <c r="F323" t="str">
        <f>VLOOKUP(D323,segédtábla!$A$2:$C$13,3)</f>
        <v>2012Q4</v>
      </c>
    </row>
    <row r="324" spans="1:6" x14ac:dyDescent="0.3">
      <c r="A324" s="1">
        <v>41232</v>
      </c>
      <c r="B324" t="str">
        <f t="shared" si="15"/>
        <v>N</v>
      </c>
      <c r="C324">
        <f t="shared" si="16"/>
        <v>47</v>
      </c>
      <c r="D324" t="str">
        <f t="shared" si="17"/>
        <v>2012W47</v>
      </c>
      <c r="E324" t="str">
        <f>VLOOKUP(D324,segédtábla!$A$2:$C$13,2)</f>
        <v>2012M11</v>
      </c>
      <c r="F324" t="str">
        <f>VLOOKUP(D324,segédtábla!$A$2:$C$13,3)</f>
        <v>2012Q4</v>
      </c>
    </row>
    <row r="325" spans="1:6" x14ac:dyDescent="0.3">
      <c r="A325" s="1">
        <v>41233</v>
      </c>
      <c r="B325" t="str">
        <f t="shared" si="15"/>
        <v>N</v>
      </c>
      <c r="C325">
        <f t="shared" si="16"/>
        <v>47</v>
      </c>
      <c r="D325" t="str">
        <f t="shared" si="17"/>
        <v>2012W47</v>
      </c>
      <c r="E325" t="str">
        <f>VLOOKUP(D325,segédtábla!$A$2:$C$13,2)</f>
        <v>2012M11</v>
      </c>
      <c r="F325" t="str">
        <f>VLOOKUP(D325,segédtábla!$A$2:$C$13,3)</f>
        <v>2012Q4</v>
      </c>
    </row>
    <row r="326" spans="1:6" x14ac:dyDescent="0.3">
      <c r="A326" s="1">
        <v>41234</v>
      </c>
      <c r="B326" t="str">
        <f t="shared" si="15"/>
        <v>N</v>
      </c>
      <c r="C326">
        <f t="shared" si="16"/>
        <v>47</v>
      </c>
      <c r="D326" t="str">
        <f t="shared" si="17"/>
        <v>2012W47</v>
      </c>
      <c r="E326" t="str">
        <f>VLOOKUP(D326,segédtábla!$A$2:$C$13,2)</f>
        <v>2012M11</v>
      </c>
      <c r="F326" t="str">
        <f>VLOOKUP(D326,segédtábla!$A$2:$C$13,3)</f>
        <v>2012Q4</v>
      </c>
    </row>
    <row r="327" spans="1:6" x14ac:dyDescent="0.3">
      <c r="A327" s="1">
        <v>41235</v>
      </c>
      <c r="B327" t="str">
        <f t="shared" si="15"/>
        <v>N</v>
      </c>
      <c r="C327">
        <f t="shared" si="16"/>
        <v>47</v>
      </c>
      <c r="D327" t="str">
        <f t="shared" si="17"/>
        <v>2012W47</v>
      </c>
      <c r="E327" t="str">
        <f>VLOOKUP(D327,segédtábla!$A$2:$C$13,2)</f>
        <v>2012M11</v>
      </c>
      <c r="F327" t="str">
        <f>VLOOKUP(D327,segédtábla!$A$2:$C$13,3)</f>
        <v>2012Q4</v>
      </c>
    </row>
    <row r="328" spans="1:6" x14ac:dyDescent="0.3">
      <c r="A328" s="1">
        <v>41236</v>
      </c>
      <c r="B328" t="str">
        <f t="shared" si="15"/>
        <v>N</v>
      </c>
      <c r="C328">
        <f t="shared" si="16"/>
        <v>47</v>
      </c>
      <c r="D328" t="str">
        <f t="shared" si="17"/>
        <v>2012W47</v>
      </c>
      <c r="E328" t="str">
        <f>VLOOKUP(D328,segédtábla!$A$2:$C$13,2)</f>
        <v>2012M11</v>
      </c>
      <c r="F328" t="str">
        <f>VLOOKUP(D328,segédtábla!$A$2:$C$13,3)</f>
        <v>2012Q4</v>
      </c>
    </row>
    <row r="329" spans="1:6" x14ac:dyDescent="0.3">
      <c r="A329" s="1">
        <v>41237</v>
      </c>
      <c r="B329" t="str">
        <f t="shared" si="15"/>
        <v>Y</v>
      </c>
      <c r="C329">
        <f t="shared" si="16"/>
        <v>47</v>
      </c>
      <c r="D329" t="str">
        <f t="shared" si="17"/>
        <v>2012W47</v>
      </c>
      <c r="E329" t="str">
        <f>VLOOKUP(D329,segédtábla!$A$2:$C$13,2)</f>
        <v>2012M11</v>
      </c>
      <c r="F329" t="str">
        <f>VLOOKUP(D329,segédtábla!$A$2:$C$13,3)</f>
        <v>2012Q4</v>
      </c>
    </row>
    <row r="330" spans="1:6" x14ac:dyDescent="0.3">
      <c r="A330" s="1">
        <v>41238</v>
      </c>
      <c r="B330" t="str">
        <f t="shared" si="15"/>
        <v>Y</v>
      </c>
      <c r="C330">
        <f t="shared" si="16"/>
        <v>47</v>
      </c>
      <c r="D330" t="str">
        <f t="shared" si="17"/>
        <v>2012W47</v>
      </c>
      <c r="E330" t="str">
        <f>VLOOKUP(D330,segédtábla!$A$2:$C$13,2)</f>
        <v>2012M11</v>
      </c>
      <c r="F330" t="str">
        <f>VLOOKUP(D330,segédtábla!$A$2:$C$13,3)</f>
        <v>2012Q4</v>
      </c>
    </row>
    <row r="331" spans="1:6" x14ac:dyDescent="0.3">
      <c r="A331" s="1">
        <v>41239</v>
      </c>
      <c r="B331" t="str">
        <f t="shared" si="15"/>
        <v>N</v>
      </c>
      <c r="C331">
        <f t="shared" si="16"/>
        <v>48</v>
      </c>
      <c r="D331" t="str">
        <f t="shared" si="17"/>
        <v>2012W48</v>
      </c>
      <c r="E331" t="str">
        <f>VLOOKUP(D331,segédtábla!$A$2:$C$13,2)</f>
        <v>2012M11</v>
      </c>
      <c r="F331" t="str">
        <f>VLOOKUP(D331,segédtábla!$A$2:$C$13,3)</f>
        <v>2012Q4</v>
      </c>
    </row>
    <row r="332" spans="1:6" x14ac:dyDescent="0.3">
      <c r="A332" s="1">
        <v>41240</v>
      </c>
      <c r="B332" t="str">
        <f t="shared" si="15"/>
        <v>N</v>
      </c>
      <c r="C332">
        <f t="shared" si="16"/>
        <v>48</v>
      </c>
      <c r="D332" t="str">
        <f t="shared" si="17"/>
        <v>2012W48</v>
      </c>
      <c r="E332" t="str">
        <f>VLOOKUP(D332,segédtábla!$A$2:$C$13,2)</f>
        <v>2012M11</v>
      </c>
      <c r="F332" t="str">
        <f>VLOOKUP(D332,segédtábla!$A$2:$C$13,3)</f>
        <v>2012Q4</v>
      </c>
    </row>
    <row r="333" spans="1:6" x14ac:dyDescent="0.3">
      <c r="A333" s="1">
        <v>41241</v>
      </c>
      <c r="B333" t="str">
        <f t="shared" si="15"/>
        <v>N</v>
      </c>
      <c r="C333">
        <f t="shared" si="16"/>
        <v>48</v>
      </c>
      <c r="D333" t="str">
        <f t="shared" si="17"/>
        <v>2012W48</v>
      </c>
      <c r="E333" t="str">
        <f>VLOOKUP(D333,segédtábla!$A$2:$C$13,2)</f>
        <v>2012M11</v>
      </c>
      <c r="F333" t="str">
        <f>VLOOKUP(D333,segédtábla!$A$2:$C$13,3)</f>
        <v>2012Q4</v>
      </c>
    </row>
    <row r="334" spans="1:6" x14ac:dyDescent="0.3">
      <c r="A334" s="1">
        <v>41242</v>
      </c>
      <c r="B334" t="str">
        <f t="shared" si="15"/>
        <v>N</v>
      </c>
      <c r="C334">
        <f t="shared" si="16"/>
        <v>48</v>
      </c>
      <c r="D334" t="str">
        <f t="shared" si="17"/>
        <v>2012W48</v>
      </c>
      <c r="E334" t="str">
        <f>VLOOKUP(D334,segédtábla!$A$2:$C$13,2)</f>
        <v>2012M11</v>
      </c>
      <c r="F334" t="str">
        <f>VLOOKUP(D334,segédtábla!$A$2:$C$13,3)</f>
        <v>2012Q4</v>
      </c>
    </row>
    <row r="335" spans="1:6" x14ac:dyDescent="0.3">
      <c r="A335" s="1">
        <v>41243</v>
      </c>
      <c r="B335" t="str">
        <f t="shared" si="15"/>
        <v>N</v>
      </c>
      <c r="C335">
        <f t="shared" si="16"/>
        <v>48</v>
      </c>
      <c r="D335" t="str">
        <f t="shared" si="17"/>
        <v>2012W48</v>
      </c>
      <c r="E335" t="str">
        <f>VLOOKUP(D335,segédtábla!$A$2:$C$13,2)</f>
        <v>2012M11</v>
      </c>
      <c r="F335" t="str">
        <f>VLOOKUP(D335,segédtábla!$A$2:$C$13,3)</f>
        <v>2012Q4</v>
      </c>
    </row>
    <row r="336" spans="1:6" x14ac:dyDescent="0.3">
      <c r="A336" s="1">
        <v>41244</v>
      </c>
      <c r="B336" t="str">
        <f t="shared" si="15"/>
        <v>Y</v>
      </c>
      <c r="C336">
        <f t="shared" si="16"/>
        <v>48</v>
      </c>
      <c r="D336" t="str">
        <f t="shared" si="17"/>
        <v>2012W48</v>
      </c>
      <c r="E336" t="str">
        <f>VLOOKUP(D336,segédtábla!$A$2:$C$13,2)</f>
        <v>2012M11</v>
      </c>
      <c r="F336" t="str">
        <f>VLOOKUP(D336,segédtábla!$A$2:$C$13,3)</f>
        <v>2012Q4</v>
      </c>
    </row>
    <row r="337" spans="1:6" x14ac:dyDescent="0.3">
      <c r="A337" s="1">
        <v>41245</v>
      </c>
      <c r="B337" t="str">
        <f t="shared" si="15"/>
        <v>Y</v>
      </c>
      <c r="C337">
        <f t="shared" si="16"/>
        <v>48</v>
      </c>
      <c r="D337" t="str">
        <f t="shared" si="17"/>
        <v>2012W48</v>
      </c>
      <c r="E337" t="str">
        <f>VLOOKUP(D337,segédtábla!$A$2:$C$13,2)</f>
        <v>2012M11</v>
      </c>
      <c r="F337" t="str">
        <f>VLOOKUP(D337,segédtábla!$A$2:$C$13,3)</f>
        <v>2012Q4</v>
      </c>
    </row>
    <row r="338" spans="1:6" x14ac:dyDescent="0.3">
      <c r="A338" s="1">
        <v>41246</v>
      </c>
      <c r="B338" t="str">
        <f t="shared" si="15"/>
        <v>N</v>
      </c>
      <c r="C338">
        <f t="shared" si="16"/>
        <v>49</v>
      </c>
      <c r="D338" t="str">
        <f t="shared" si="17"/>
        <v>2012W49</v>
      </c>
      <c r="E338" t="str">
        <f>VLOOKUP(D338,segédtábla!$A$2:$C$13,2)</f>
        <v>2012M12</v>
      </c>
      <c r="F338" t="str">
        <f>VLOOKUP(D338,segédtábla!$A$2:$C$13,3)</f>
        <v>2012Q4</v>
      </c>
    </row>
    <row r="339" spans="1:6" x14ac:dyDescent="0.3">
      <c r="A339" s="1">
        <v>41247</v>
      </c>
      <c r="B339" t="str">
        <f t="shared" si="15"/>
        <v>N</v>
      </c>
      <c r="C339">
        <f t="shared" si="16"/>
        <v>49</v>
      </c>
      <c r="D339" t="str">
        <f t="shared" si="17"/>
        <v>2012W49</v>
      </c>
      <c r="E339" t="str">
        <f>VLOOKUP(D339,segédtábla!$A$2:$C$13,2)</f>
        <v>2012M12</v>
      </c>
      <c r="F339" t="str">
        <f>VLOOKUP(D339,segédtábla!$A$2:$C$13,3)</f>
        <v>2012Q4</v>
      </c>
    </row>
    <row r="340" spans="1:6" x14ac:dyDescent="0.3">
      <c r="A340" s="1">
        <v>41248</v>
      </c>
      <c r="B340" t="str">
        <f t="shared" si="15"/>
        <v>N</v>
      </c>
      <c r="C340">
        <f t="shared" si="16"/>
        <v>49</v>
      </c>
      <c r="D340" t="str">
        <f t="shared" si="17"/>
        <v>2012W49</v>
      </c>
      <c r="E340" t="str">
        <f>VLOOKUP(D340,segédtábla!$A$2:$C$13,2)</f>
        <v>2012M12</v>
      </c>
      <c r="F340" t="str">
        <f>VLOOKUP(D340,segédtábla!$A$2:$C$13,3)</f>
        <v>2012Q4</v>
      </c>
    </row>
    <row r="341" spans="1:6" x14ac:dyDescent="0.3">
      <c r="A341" s="1">
        <v>41249</v>
      </c>
      <c r="B341" t="str">
        <f t="shared" si="15"/>
        <v>N</v>
      </c>
      <c r="C341">
        <f t="shared" si="16"/>
        <v>49</v>
      </c>
      <c r="D341" t="str">
        <f t="shared" si="17"/>
        <v>2012W49</v>
      </c>
      <c r="E341" t="str">
        <f>VLOOKUP(D341,segédtábla!$A$2:$C$13,2)</f>
        <v>2012M12</v>
      </c>
      <c r="F341" t="str">
        <f>VLOOKUP(D341,segédtábla!$A$2:$C$13,3)</f>
        <v>2012Q4</v>
      </c>
    </row>
    <row r="342" spans="1:6" x14ac:dyDescent="0.3">
      <c r="A342" s="1">
        <v>41250</v>
      </c>
      <c r="B342" t="str">
        <f t="shared" si="15"/>
        <v>N</v>
      </c>
      <c r="C342">
        <f t="shared" si="16"/>
        <v>49</v>
      </c>
      <c r="D342" t="str">
        <f t="shared" si="17"/>
        <v>2012W49</v>
      </c>
      <c r="E342" t="str">
        <f>VLOOKUP(D342,segédtábla!$A$2:$C$13,2)</f>
        <v>2012M12</v>
      </c>
      <c r="F342" t="str">
        <f>VLOOKUP(D342,segédtábla!$A$2:$C$13,3)</f>
        <v>2012Q4</v>
      </c>
    </row>
    <row r="343" spans="1:6" x14ac:dyDescent="0.3">
      <c r="A343" s="1">
        <v>41251</v>
      </c>
      <c r="B343" t="str">
        <f t="shared" si="15"/>
        <v>Y</v>
      </c>
      <c r="C343">
        <f t="shared" si="16"/>
        <v>49</v>
      </c>
      <c r="D343" t="str">
        <f t="shared" si="17"/>
        <v>2012W49</v>
      </c>
      <c r="E343" t="str">
        <f>VLOOKUP(D343,segédtábla!$A$2:$C$13,2)</f>
        <v>2012M12</v>
      </c>
      <c r="F343" t="str">
        <f>VLOOKUP(D343,segédtábla!$A$2:$C$13,3)</f>
        <v>2012Q4</v>
      </c>
    </row>
    <row r="344" spans="1:6" x14ac:dyDescent="0.3">
      <c r="A344" s="1">
        <v>41252</v>
      </c>
      <c r="B344" t="str">
        <f t="shared" si="15"/>
        <v>Y</v>
      </c>
      <c r="C344">
        <f t="shared" si="16"/>
        <v>49</v>
      </c>
      <c r="D344" t="str">
        <f t="shared" si="17"/>
        <v>2012W49</v>
      </c>
      <c r="E344" t="str">
        <f>VLOOKUP(D344,segédtábla!$A$2:$C$13,2)</f>
        <v>2012M12</v>
      </c>
      <c r="F344" t="str">
        <f>VLOOKUP(D344,segédtábla!$A$2:$C$13,3)</f>
        <v>2012Q4</v>
      </c>
    </row>
    <row r="345" spans="1:6" x14ac:dyDescent="0.3">
      <c r="A345" s="1">
        <v>41253</v>
      </c>
      <c r="B345" t="str">
        <f t="shared" si="15"/>
        <v>N</v>
      </c>
      <c r="C345">
        <f t="shared" si="16"/>
        <v>50</v>
      </c>
      <c r="D345" t="str">
        <f t="shared" si="17"/>
        <v>2012W50</v>
      </c>
      <c r="E345" t="str">
        <f>VLOOKUP(D345,segédtábla!$A$2:$C$13,2)</f>
        <v>2012M12</v>
      </c>
      <c r="F345" t="str">
        <f>VLOOKUP(D345,segédtábla!$A$2:$C$13,3)</f>
        <v>2012Q4</v>
      </c>
    </row>
    <row r="346" spans="1:6" x14ac:dyDescent="0.3">
      <c r="A346" s="1">
        <v>41254</v>
      </c>
      <c r="B346" t="str">
        <f t="shared" si="15"/>
        <v>N</v>
      </c>
      <c r="C346">
        <f t="shared" si="16"/>
        <v>50</v>
      </c>
      <c r="D346" t="str">
        <f t="shared" si="17"/>
        <v>2012W50</v>
      </c>
      <c r="E346" t="str">
        <f>VLOOKUP(D346,segédtábla!$A$2:$C$13,2)</f>
        <v>2012M12</v>
      </c>
      <c r="F346" t="str">
        <f>VLOOKUP(D346,segédtábla!$A$2:$C$13,3)</f>
        <v>2012Q4</v>
      </c>
    </row>
    <row r="347" spans="1:6" x14ac:dyDescent="0.3">
      <c r="A347" s="1">
        <v>41255</v>
      </c>
      <c r="B347" t="str">
        <f t="shared" si="15"/>
        <v>N</v>
      </c>
      <c r="C347">
        <f t="shared" si="16"/>
        <v>50</v>
      </c>
      <c r="D347" t="str">
        <f t="shared" si="17"/>
        <v>2012W50</v>
      </c>
      <c r="E347" t="str">
        <f>VLOOKUP(D347,segédtábla!$A$2:$C$13,2)</f>
        <v>2012M12</v>
      </c>
      <c r="F347" t="str">
        <f>VLOOKUP(D347,segédtábla!$A$2:$C$13,3)</f>
        <v>2012Q4</v>
      </c>
    </row>
    <row r="348" spans="1:6" x14ac:dyDescent="0.3">
      <c r="A348" s="1">
        <v>41256</v>
      </c>
      <c r="B348" t="str">
        <f t="shared" si="15"/>
        <v>N</v>
      </c>
      <c r="C348">
        <f t="shared" si="16"/>
        <v>50</v>
      </c>
      <c r="D348" t="str">
        <f t="shared" si="17"/>
        <v>2012W50</v>
      </c>
      <c r="E348" t="str">
        <f>VLOOKUP(D348,segédtábla!$A$2:$C$13,2)</f>
        <v>2012M12</v>
      </c>
      <c r="F348" t="str">
        <f>VLOOKUP(D348,segédtábla!$A$2:$C$13,3)</f>
        <v>2012Q4</v>
      </c>
    </row>
    <row r="349" spans="1:6" x14ac:dyDescent="0.3">
      <c r="A349" s="1">
        <v>41257</v>
      </c>
      <c r="B349" t="str">
        <f t="shared" si="15"/>
        <v>N</v>
      </c>
      <c r="C349">
        <f t="shared" si="16"/>
        <v>50</v>
      </c>
      <c r="D349" t="str">
        <f t="shared" si="17"/>
        <v>2012W50</v>
      </c>
      <c r="E349" t="str">
        <f>VLOOKUP(D349,segédtábla!$A$2:$C$13,2)</f>
        <v>2012M12</v>
      </c>
      <c r="F349" t="str">
        <f>VLOOKUP(D349,segédtábla!$A$2:$C$13,3)</f>
        <v>2012Q4</v>
      </c>
    </row>
    <row r="350" spans="1:6" x14ac:dyDescent="0.3">
      <c r="A350" s="1">
        <v>41258</v>
      </c>
      <c r="B350" t="str">
        <f t="shared" si="15"/>
        <v>Y</v>
      </c>
      <c r="C350">
        <f t="shared" si="16"/>
        <v>50</v>
      </c>
      <c r="D350" t="str">
        <f t="shared" si="17"/>
        <v>2012W50</v>
      </c>
      <c r="E350" t="str">
        <f>VLOOKUP(D350,segédtábla!$A$2:$C$13,2)</f>
        <v>2012M12</v>
      </c>
      <c r="F350" t="str">
        <f>VLOOKUP(D350,segédtábla!$A$2:$C$13,3)</f>
        <v>2012Q4</v>
      </c>
    </row>
    <row r="351" spans="1:6" x14ac:dyDescent="0.3">
      <c r="A351" s="1">
        <v>41259</v>
      </c>
      <c r="B351" t="str">
        <f t="shared" si="15"/>
        <v>Y</v>
      </c>
      <c r="C351">
        <f t="shared" si="16"/>
        <v>50</v>
      </c>
      <c r="D351" t="str">
        <f t="shared" si="17"/>
        <v>2012W50</v>
      </c>
      <c r="E351" t="str">
        <f>VLOOKUP(D351,segédtábla!$A$2:$C$13,2)</f>
        <v>2012M12</v>
      </c>
      <c r="F351" t="str">
        <f>VLOOKUP(D351,segédtábla!$A$2:$C$13,3)</f>
        <v>2012Q4</v>
      </c>
    </row>
    <row r="352" spans="1:6" x14ac:dyDescent="0.3">
      <c r="A352" s="1">
        <v>41260</v>
      </c>
      <c r="B352" t="str">
        <f t="shared" si="15"/>
        <v>N</v>
      </c>
      <c r="C352">
        <f t="shared" si="16"/>
        <v>51</v>
      </c>
      <c r="D352" t="str">
        <f t="shared" si="17"/>
        <v>2012W51</v>
      </c>
      <c r="E352" t="str">
        <f>VLOOKUP(D352,segédtábla!$A$2:$C$13,2)</f>
        <v>2012M12</v>
      </c>
      <c r="F352" t="str">
        <f>VLOOKUP(D352,segédtábla!$A$2:$C$13,3)</f>
        <v>2012Q4</v>
      </c>
    </row>
    <row r="353" spans="1:6" x14ac:dyDescent="0.3">
      <c r="A353" s="1">
        <v>41261</v>
      </c>
      <c r="B353" t="str">
        <f t="shared" si="15"/>
        <v>N</v>
      </c>
      <c r="C353">
        <f t="shared" si="16"/>
        <v>51</v>
      </c>
      <c r="D353" t="str">
        <f t="shared" si="17"/>
        <v>2012W51</v>
      </c>
      <c r="E353" t="str">
        <f>VLOOKUP(D353,segédtábla!$A$2:$C$13,2)</f>
        <v>2012M12</v>
      </c>
      <c r="F353" t="str">
        <f>VLOOKUP(D353,segédtábla!$A$2:$C$13,3)</f>
        <v>2012Q4</v>
      </c>
    </row>
    <row r="354" spans="1:6" x14ac:dyDescent="0.3">
      <c r="A354" s="1">
        <v>41262</v>
      </c>
      <c r="B354" t="str">
        <f t="shared" si="15"/>
        <v>N</v>
      </c>
      <c r="C354">
        <f t="shared" si="16"/>
        <v>51</v>
      </c>
      <c r="D354" t="str">
        <f t="shared" si="17"/>
        <v>2012W51</v>
      </c>
      <c r="E354" t="str">
        <f>VLOOKUP(D354,segédtábla!$A$2:$C$13,2)</f>
        <v>2012M12</v>
      </c>
      <c r="F354" t="str">
        <f>VLOOKUP(D354,segédtábla!$A$2:$C$13,3)</f>
        <v>2012Q4</v>
      </c>
    </row>
    <row r="355" spans="1:6" x14ac:dyDescent="0.3">
      <c r="A355" s="1">
        <v>41263</v>
      </c>
      <c r="B355" t="str">
        <f t="shared" si="15"/>
        <v>N</v>
      </c>
      <c r="C355">
        <f t="shared" si="16"/>
        <v>51</v>
      </c>
      <c r="D355" t="str">
        <f t="shared" si="17"/>
        <v>2012W51</v>
      </c>
      <c r="E355" t="str">
        <f>VLOOKUP(D355,segédtábla!$A$2:$C$13,2)</f>
        <v>2012M12</v>
      </c>
      <c r="F355" t="str">
        <f>VLOOKUP(D355,segédtábla!$A$2:$C$13,3)</f>
        <v>2012Q4</v>
      </c>
    </row>
    <row r="356" spans="1:6" x14ac:dyDescent="0.3">
      <c r="A356" s="1">
        <v>41264</v>
      </c>
      <c r="B356" t="str">
        <f t="shared" si="15"/>
        <v>N</v>
      </c>
      <c r="C356">
        <f t="shared" si="16"/>
        <v>51</v>
      </c>
      <c r="D356" t="str">
        <f t="shared" si="17"/>
        <v>2012W51</v>
      </c>
      <c r="E356" t="str">
        <f>VLOOKUP(D356,segédtábla!$A$2:$C$13,2)</f>
        <v>2012M12</v>
      </c>
      <c r="F356" t="str">
        <f>VLOOKUP(D356,segédtábla!$A$2:$C$13,3)</f>
        <v>2012Q4</v>
      </c>
    </row>
    <row r="357" spans="1:6" x14ac:dyDescent="0.3">
      <c r="A357" s="1">
        <v>41265</v>
      </c>
      <c r="B357" t="str">
        <f t="shared" si="15"/>
        <v>Y</v>
      </c>
      <c r="C357">
        <f t="shared" si="16"/>
        <v>51</v>
      </c>
      <c r="D357" t="str">
        <f t="shared" si="17"/>
        <v>2012W51</v>
      </c>
      <c r="E357" t="str">
        <f>VLOOKUP(D357,segédtábla!$A$2:$C$13,2)</f>
        <v>2012M12</v>
      </c>
      <c r="F357" t="str">
        <f>VLOOKUP(D357,segédtábla!$A$2:$C$13,3)</f>
        <v>2012Q4</v>
      </c>
    </row>
    <row r="358" spans="1:6" x14ac:dyDescent="0.3">
      <c r="A358" s="1">
        <v>41266</v>
      </c>
      <c r="B358" t="str">
        <f t="shared" si="15"/>
        <v>Y</v>
      </c>
      <c r="C358">
        <f t="shared" si="16"/>
        <v>51</v>
      </c>
      <c r="D358" t="str">
        <f t="shared" si="17"/>
        <v>2012W51</v>
      </c>
      <c r="E358" t="str">
        <f>VLOOKUP(D358,segédtábla!$A$2:$C$13,2)</f>
        <v>2012M12</v>
      </c>
      <c r="F358" t="str">
        <f>VLOOKUP(D358,segédtábla!$A$2:$C$13,3)</f>
        <v>2012Q4</v>
      </c>
    </row>
    <row r="359" spans="1:6" x14ac:dyDescent="0.3">
      <c r="A359" s="1">
        <v>41267</v>
      </c>
      <c r="B359" t="str">
        <f t="shared" si="15"/>
        <v>N</v>
      </c>
      <c r="C359">
        <f t="shared" si="16"/>
        <v>52</v>
      </c>
      <c r="D359" t="str">
        <f t="shared" si="17"/>
        <v>2012W52</v>
      </c>
      <c r="E359" t="str">
        <f>VLOOKUP(D359,segédtábla!$A$2:$C$13,2)</f>
        <v>2012M12</v>
      </c>
      <c r="F359" t="str">
        <f>VLOOKUP(D359,segédtábla!$A$2:$C$13,3)</f>
        <v>2012Q4</v>
      </c>
    </row>
    <row r="360" spans="1:6" x14ac:dyDescent="0.3">
      <c r="A360" s="1">
        <v>41268</v>
      </c>
      <c r="B360" t="str">
        <f t="shared" si="15"/>
        <v>N</v>
      </c>
      <c r="C360">
        <f t="shared" si="16"/>
        <v>52</v>
      </c>
      <c r="D360" t="str">
        <f t="shared" si="17"/>
        <v>2012W52</v>
      </c>
      <c r="E360" t="str">
        <f>VLOOKUP(D360,segédtábla!$A$2:$C$13,2)</f>
        <v>2012M12</v>
      </c>
      <c r="F360" t="str">
        <f>VLOOKUP(D360,segédtábla!$A$2:$C$13,3)</f>
        <v>2012Q4</v>
      </c>
    </row>
    <row r="361" spans="1:6" x14ac:dyDescent="0.3">
      <c r="A361" s="1">
        <v>41269</v>
      </c>
      <c r="B361" t="str">
        <f t="shared" si="15"/>
        <v>N</v>
      </c>
      <c r="C361">
        <f t="shared" si="16"/>
        <v>52</v>
      </c>
      <c r="D361" t="str">
        <f t="shared" si="17"/>
        <v>2012W52</v>
      </c>
      <c r="E361" t="str">
        <f>VLOOKUP(D361,segédtábla!$A$2:$C$13,2)</f>
        <v>2012M12</v>
      </c>
      <c r="F361" t="str">
        <f>VLOOKUP(D361,segédtábla!$A$2:$C$13,3)</f>
        <v>2012Q4</v>
      </c>
    </row>
    <row r="362" spans="1:6" x14ac:dyDescent="0.3">
      <c r="A362" s="1">
        <v>41270</v>
      </c>
      <c r="B362" t="str">
        <f t="shared" si="15"/>
        <v>N</v>
      </c>
      <c r="C362">
        <f t="shared" si="16"/>
        <v>52</v>
      </c>
      <c r="D362" t="str">
        <f t="shared" si="17"/>
        <v>2012W52</v>
      </c>
      <c r="E362" t="str">
        <f>VLOOKUP(D362,segédtábla!$A$2:$C$13,2)</f>
        <v>2012M12</v>
      </c>
      <c r="F362" t="str">
        <f>VLOOKUP(D362,segédtábla!$A$2:$C$13,3)</f>
        <v>2012Q4</v>
      </c>
    </row>
    <row r="363" spans="1:6" x14ac:dyDescent="0.3">
      <c r="A363" s="1">
        <v>41271</v>
      </c>
      <c r="B363" t="str">
        <f t="shared" si="15"/>
        <v>N</v>
      </c>
      <c r="C363">
        <f t="shared" si="16"/>
        <v>52</v>
      </c>
      <c r="D363" t="str">
        <f t="shared" si="17"/>
        <v>2012W52</v>
      </c>
      <c r="E363" t="str">
        <f>VLOOKUP(D363,segédtábla!$A$2:$C$13,2)</f>
        <v>2012M12</v>
      </c>
      <c r="F363" t="str">
        <f>VLOOKUP(D363,segédtábla!$A$2:$C$13,3)</f>
        <v>2012Q4</v>
      </c>
    </row>
    <row r="364" spans="1:6" x14ac:dyDescent="0.3">
      <c r="A364" s="1">
        <v>41272</v>
      </c>
      <c r="B364" t="str">
        <f t="shared" si="15"/>
        <v>Y</v>
      </c>
      <c r="C364">
        <f t="shared" si="16"/>
        <v>52</v>
      </c>
      <c r="D364" t="str">
        <f t="shared" si="17"/>
        <v>2012W52</v>
      </c>
      <c r="E364" t="str">
        <f>VLOOKUP(D364,segédtábla!$A$2:$C$13,2)</f>
        <v>2012M12</v>
      </c>
      <c r="F364" t="str">
        <f>VLOOKUP(D364,segédtábla!$A$2:$C$13,3)</f>
        <v>2012Q4</v>
      </c>
    </row>
    <row r="365" spans="1:6" x14ac:dyDescent="0.3">
      <c r="A365" s="1">
        <v>41273</v>
      </c>
      <c r="B365" t="str">
        <f t="shared" si="15"/>
        <v>Y</v>
      </c>
      <c r="C365">
        <f t="shared" si="16"/>
        <v>52</v>
      </c>
      <c r="D365" t="str">
        <f t="shared" si="17"/>
        <v>2012W52</v>
      </c>
      <c r="E365" t="str">
        <f>VLOOKUP(D365,segédtábla!$A$2:$C$13,2)</f>
        <v>2012M12</v>
      </c>
      <c r="F365" t="str">
        <f>VLOOKUP(D365,segédtábla!$A$2:$C$13,3)</f>
        <v>2012Q4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8A8D-A0F0-4949-8437-EA4261FCDC88}">
  <dimension ref="A1:C13"/>
  <sheetViews>
    <sheetView workbookViewId="0">
      <selection activeCell="D23" sqref="D23"/>
    </sheetView>
  </sheetViews>
  <sheetFormatPr defaultRowHeight="14.4" x14ac:dyDescent="0.3"/>
  <cols>
    <col min="1" max="1" width="9.6640625" bestFit="1" customWidth="1"/>
    <col min="2" max="2" width="10" bestFit="1" customWidth="1"/>
    <col min="3" max="3" width="11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12</v>
      </c>
    </row>
    <row r="7" spans="1:3" x14ac:dyDescent="0.3">
      <c r="A7" t="s">
        <v>15</v>
      </c>
      <c r="B7" t="s">
        <v>16</v>
      </c>
      <c r="C7" t="s">
        <v>12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19</v>
      </c>
    </row>
    <row r="10" spans="1:3" x14ac:dyDescent="0.3">
      <c r="A10" t="s">
        <v>22</v>
      </c>
      <c r="B10" t="s">
        <v>23</v>
      </c>
      <c r="C10" t="s">
        <v>19</v>
      </c>
    </row>
    <row r="11" spans="1:3" x14ac:dyDescent="0.3">
      <c r="A11" t="s">
        <v>24</v>
      </c>
      <c r="B11" t="s">
        <v>25</v>
      </c>
      <c r="C11" t="s">
        <v>26</v>
      </c>
    </row>
    <row r="12" spans="1:3" x14ac:dyDescent="0.3">
      <c r="A12" t="s">
        <v>27</v>
      </c>
      <c r="B12" t="s">
        <v>28</v>
      </c>
      <c r="C12" t="s">
        <v>26</v>
      </c>
    </row>
    <row r="13" spans="1:3" x14ac:dyDescent="0.3">
      <c r="A13" t="s">
        <v>29</v>
      </c>
      <c r="B13" t="s">
        <v>30</v>
      </c>
      <c r="C1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C23B1E9B-41C1-408E-82F5-DBA6FC5310BF}">
  <ds:schemaRefs/>
</ds:datastoreItem>
</file>

<file path=customXml/itemProps2.xml><?xml version="1.0" encoding="utf-8"?>
<ds:datastoreItem xmlns:ds="http://schemas.openxmlformats.org/officeDocument/2006/customXml" ds:itemID="{0BA57E23-67C7-4CC3-90FB-673915FB3926}">
  <ds:schemaRefs/>
</ds:datastoreItem>
</file>

<file path=customXml/itemProps3.xml><?xml version="1.0" encoding="utf-8"?>
<ds:datastoreItem xmlns:ds="http://schemas.openxmlformats.org/officeDocument/2006/customXml" ds:itemID="{6C414612-FF33-4DCF-9B62-D40DD6959DDC}">
  <ds:schemaRefs/>
</ds:datastoreItem>
</file>

<file path=customXml/itemProps4.xml><?xml version="1.0" encoding="utf-8"?>
<ds:datastoreItem xmlns:ds="http://schemas.openxmlformats.org/officeDocument/2006/customXml" ds:itemID="{0EE7F7C6-DA07-4092-B21C-DEA39E30C105}">
  <ds:schemaRefs/>
</ds:datastoreItem>
</file>

<file path=customXml/itemProps5.xml><?xml version="1.0" encoding="utf-8"?>
<ds:datastoreItem xmlns:ds="http://schemas.openxmlformats.org/officeDocument/2006/customXml" ds:itemID="{4787DD1B-D1C4-46E6-AD42-AA7E52EF526F}">
  <ds:schemaRefs/>
</ds:datastoreItem>
</file>

<file path=customXml/itemProps6.xml><?xml version="1.0" encoding="utf-8"?>
<ds:datastoreItem xmlns:ds="http://schemas.openxmlformats.org/officeDocument/2006/customXml" ds:itemID="{349699B3-B7F1-4BA1-AB5D-A1FB92C352E2}">
  <ds:schemaRefs/>
</ds:datastoreItem>
</file>

<file path=customXml/itemProps7.xml><?xml version="1.0" encoding="utf-8"?>
<ds:datastoreItem xmlns:ds="http://schemas.openxmlformats.org/officeDocument/2006/customXml" ds:itemID="{84239708-D993-4604-9B88-BBC583A5B153}">
  <ds:schemaRefs/>
</ds:datastoreItem>
</file>

<file path=customXml/itemProps8.xml><?xml version="1.0" encoding="utf-8"?>
<ds:datastoreItem xmlns:ds="http://schemas.openxmlformats.org/officeDocument/2006/customXml" ds:itemID="{1398B735-3B4D-4B4E-8309-8BAE8859DA8C}">
  <ds:schemaRefs/>
</ds:datastoreItem>
</file>

<file path=customXml/itemProps9.xml><?xml version="1.0" encoding="utf-8"?>
<ds:datastoreItem xmlns:ds="http://schemas.openxmlformats.org/officeDocument/2006/customXml" ds:itemID="{0D6FD9B1-5593-4199-B704-8E8F91A8AF36}">
  <ds:schemaRefs/>
</ds:datastoreItem>
</file>

<file path=customXml/itemProps10.xml><?xml version="1.0" encoding="utf-8"?>
<ds:datastoreItem xmlns:ds="http://schemas.openxmlformats.org/officeDocument/2006/customXml" ds:itemID="{445987EC-F0E8-4CCF-BEDC-095FA3996091}">
  <ds:schemaRefs/>
</ds:datastoreItem>
</file>

<file path=customXml/itemProps11.xml><?xml version="1.0" encoding="utf-8"?>
<ds:datastoreItem xmlns:ds="http://schemas.openxmlformats.org/officeDocument/2006/customXml" ds:itemID="{18E38EA0-1B81-40EE-B6E9-DBF3B82CBFD4}">
  <ds:schemaRefs/>
</ds:datastoreItem>
</file>

<file path=customXml/itemProps12.xml><?xml version="1.0" encoding="utf-8"?>
<ds:datastoreItem xmlns:ds="http://schemas.openxmlformats.org/officeDocument/2006/customXml" ds:itemID="{19C50E2C-3812-4FC5-A42E-87D9E9BB44FB}">
  <ds:schemaRefs/>
</ds:datastoreItem>
</file>

<file path=customXml/itemProps13.xml><?xml version="1.0" encoding="utf-8"?>
<ds:datastoreItem xmlns:ds="http://schemas.openxmlformats.org/officeDocument/2006/customXml" ds:itemID="{8EEB560A-048A-411E-B3C4-743D14E8BAD0}">
  <ds:schemaRefs/>
</ds:datastoreItem>
</file>

<file path=customXml/itemProps14.xml><?xml version="1.0" encoding="utf-8"?>
<ds:datastoreItem xmlns:ds="http://schemas.openxmlformats.org/officeDocument/2006/customXml" ds:itemID="{F32995B7-4B50-4764-AA11-9C7563683430}">
  <ds:schemaRefs/>
</ds:datastoreItem>
</file>

<file path=customXml/itemProps15.xml><?xml version="1.0" encoding="utf-8"?>
<ds:datastoreItem xmlns:ds="http://schemas.openxmlformats.org/officeDocument/2006/customXml" ds:itemID="{2698234B-2256-4181-9707-27E2F8EEE32B}">
  <ds:schemaRefs/>
</ds:datastoreItem>
</file>

<file path=customXml/itemProps16.xml><?xml version="1.0" encoding="utf-8"?>
<ds:datastoreItem xmlns:ds="http://schemas.openxmlformats.org/officeDocument/2006/customXml" ds:itemID="{67648323-1E96-495F-A30A-E99182DA5A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calendar tábla</vt:lpstr>
      <vt:lpstr>segédtábla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Kubas Panna</dc:creator>
  <cp:lastModifiedBy>Kubas Panna Eleonóra</cp:lastModifiedBy>
  <dcterms:created xsi:type="dcterms:W3CDTF">2025-12-05T20:59:16Z</dcterms:created>
  <dcterms:modified xsi:type="dcterms:W3CDTF">2025-12-05T21:09:22Z</dcterms:modified>
</cp:coreProperties>
</file>